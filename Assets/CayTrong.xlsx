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n Phuong Anh\Downloads\Game 3D\"/>
    </mc:Choice>
  </mc:AlternateContent>
  <xr:revisionPtr revIDLastSave="0" documentId="13_ncr:1_{DF1179BC-9999-452E-A016-CF1B5021466A}" xr6:coauthVersionLast="47" xr6:coauthVersionMax="47" xr10:uidLastSave="{00000000-0000-0000-0000-000000000000}"/>
  <bookViews>
    <workbookView xWindow="-110" yWindow="-110" windowWidth="19420" windowHeight="11500" xr2:uid="{841B06C9-30F4-49D3-9F03-5DCA26D60AEE}"/>
  </bookViews>
  <sheets>
    <sheet name="Cây trồng lâu năm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7" i="1" l="1"/>
  <c r="W7" i="1"/>
  <c r="Q7" i="1"/>
  <c r="S7" i="1" s="1"/>
  <c r="V7" i="1" s="1"/>
  <c r="X7" i="1" s="1"/>
  <c r="C7" i="1"/>
  <c r="D7" i="1" s="1"/>
  <c r="Z6" i="1"/>
  <c r="W6" i="1"/>
  <c r="V6" i="1"/>
  <c r="X6" i="1" s="1"/>
  <c r="S6" i="1"/>
  <c r="D6" i="1"/>
  <c r="C6" i="1"/>
  <c r="S5" i="1"/>
  <c r="T5" i="1" s="1"/>
  <c r="W5" i="1" s="1"/>
  <c r="X5" i="1" s="1"/>
  <c r="C5" i="1"/>
  <c r="D5" i="1" s="1"/>
  <c r="Y6" i="1" l="1"/>
  <c r="AA6" i="1"/>
  <c r="AA7" i="1"/>
  <c r="Y7" i="1"/>
  <c r="Z5" i="1"/>
  <c r="AA5" i="1" s="1"/>
  <c r="Y5" i="1" l="1"/>
</calcChain>
</file>

<file path=xl/sharedStrings.xml><?xml version="1.0" encoding="utf-8"?>
<sst xmlns="http://schemas.openxmlformats.org/spreadsheetml/2006/main" count="51" uniqueCount="44">
  <si>
    <t>TỶ SUẤT LỢI NHUẬN CỦA CÂY TRỒNG LÂU NĂM</t>
  </si>
  <si>
    <t>STT</t>
  </si>
  <si>
    <t>Thông tin cây trồng</t>
  </si>
  <si>
    <t>Giá trong game</t>
  </si>
  <si>
    <t>Quy đổi ra vnd</t>
  </si>
  <si>
    <t>Quy đổi ra USDT</t>
  </si>
  <si>
    <t>?</t>
  </si>
  <si>
    <t>Sản phẩm thu hoạch</t>
  </si>
  <si>
    <t>Tính toán thu hoạch</t>
  </si>
  <si>
    <t>Doanh thu</t>
  </si>
  <si>
    <t xml:space="preserve">Lợi nhuận </t>
  </si>
  <si>
    <t>Tổng chi phí</t>
  </si>
  <si>
    <t>Tỷ suất lợi nhuận thu hoạch tổng</t>
  </si>
  <si>
    <t xml:space="preserve">Tỷ suất lợi nhuận 1 tháng dựa trên vệc thu hoạch product 1 </t>
  </si>
  <si>
    <t>Cây giống</t>
  </si>
  <si>
    <t>Slot trồng</t>
  </si>
  <si>
    <t>Phân bón</t>
  </si>
  <si>
    <t>Thức ăn 1</t>
  </si>
  <si>
    <t>EXP thu hoạch Lần cuối</t>
  </si>
  <si>
    <t>Product 1</t>
  </si>
  <si>
    <t>Số lượng Pro1</t>
  </si>
  <si>
    <t>Product 2</t>
  </si>
  <si>
    <t>Số lượng Pro2</t>
  </si>
  <si>
    <t>Chu kỳ thu hoạch (ngày)</t>
  </si>
  <si>
    <t>Tổng chu kỳ thu hoạch (LẦN THU)</t>
  </si>
  <si>
    <t>Số Tháng trồng</t>
  </si>
  <si>
    <t>Tổng Product 1</t>
  </si>
  <si>
    <t>Giá Product 1</t>
  </si>
  <si>
    <t>Tổng Product 2 (Final harverst)</t>
  </si>
  <si>
    <t>Tổng Giá trị</t>
  </si>
  <si>
    <t>(chính)</t>
  </si>
  <si>
    <t>( all chu kỳ)</t>
  </si>
  <si>
    <t>thu lại (Pro1)</t>
  </si>
  <si>
    <t>thu lại (Pro2)</t>
  </si>
  <si>
    <t>Giống Sa Chi</t>
  </si>
  <si>
    <t>1 Ô đất</t>
  </si>
  <si>
    <t>Tưới nước</t>
  </si>
  <si>
    <t>Hộp Sa Chi</t>
  </si>
  <si>
    <t>Giống Sầu Riêng</t>
  </si>
  <si>
    <t>Hộp Sầu Riêng</t>
  </si>
  <si>
    <t>Giống chanh dây</t>
  </si>
  <si>
    <t>20 ô đất</t>
  </si>
  <si>
    <t>Hộp mứt chanh dây</t>
  </si>
  <si>
    <t>Chu kỳ tưới cây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</si>
</sst>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444746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readingOrder="1"/>
    </xf>
    <xf numFmtId="0" fontId="4" fillId="4" borderId="3" xfId="0" applyFont="1" applyFill="1" applyBorder="1" applyAlignment="1">
      <alignment horizontal="center" vertical="center" wrapText="1" readingOrder="1"/>
    </xf>
    <xf numFmtId="0" fontId="4" fillId="4" borderId="3" xfId="0" applyFont="1" applyFill="1" applyBorder="1" applyAlignment="1">
      <alignment horizontal="center" vertical="center" wrapText="1" readingOrder="1"/>
    </xf>
    <xf numFmtId="0" fontId="4" fillId="5" borderId="3" xfId="0" applyFont="1" applyFill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 readingOrder="1"/>
    </xf>
    <xf numFmtId="1" fontId="2" fillId="7" borderId="4" xfId="0" applyNumberFormat="1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readingOrder="1"/>
    </xf>
    <xf numFmtId="0" fontId="5" fillId="5" borderId="3" xfId="0" applyFont="1" applyFill="1" applyBorder="1" applyAlignment="1">
      <alignment horizontal="center" vertical="center" wrapText="1" readingOrder="1"/>
    </xf>
    <xf numFmtId="0" fontId="4" fillId="6" borderId="3" xfId="0" applyFont="1" applyFill="1" applyBorder="1" applyAlignment="1">
      <alignment horizontal="center" vertical="center" wrapText="1" readingOrder="1"/>
    </xf>
    <xf numFmtId="0" fontId="4" fillId="6" borderId="4" xfId="0" applyFont="1" applyFill="1" applyBorder="1" applyAlignment="1">
      <alignment horizontal="center" vertical="center" wrapText="1" readingOrder="1"/>
    </xf>
    <xf numFmtId="1" fontId="2" fillId="7" borderId="5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 wrapText="1" readingOrder="1"/>
    </xf>
    <xf numFmtId="1" fontId="2" fillId="7" borderId="6" xfId="0" applyNumberFormat="1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 readingOrder="1"/>
    </xf>
    <xf numFmtId="164" fontId="6" fillId="9" borderId="3" xfId="0" applyNumberFormat="1" applyFont="1" applyFill="1" applyBorder="1" applyAlignment="1">
      <alignment horizontal="center" vertical="center" readingOrder="1"/>
    </xf>
    <xf numFmtId="43" fontId="6" fillId="9" borderId="3" xfId="0" applyNumberFormat="1" applyFont="1" applyFill="1" applyBorder="1" applyAlignment="1">
      <alignment horizontal="center" vertical="center" wrapText="1" readingOrder="1"/>
    </xf>
    <xf numFmtId="0" fontId="6" fillId="10" borderId="3" xfId="0" applyFont="1" applyFill="1" applyBorder="1" applyAlignment="1">
      <alignment horizontal="center" vertical="center" readingOrder="1"/>
    </xf>
    <xf numFmtId="0" fontId="5" fillId="10" borderId="3" xfId="0" applyFont="1" applyFill="1" applyBorder="1" applyAlignment="1">
      <alignment horizontal="center" vertical="center" readingOrder="1"/>
    </xf>
    <xf numFmtId="0" fontId="6" fillId="11" borderId="3" xfId="0" applyFont="1" applyFill="1" applyBorder="1" applyAlignment="1">
      <alignment horizontal="center" vertical="center" readingOrder="1"/>
    </xf>
    <xf numFmtId="1" fontId="6" fillId="7" borderId="3" xfId="0" applyNumberFormat="1" applyFont="1" applyFill="1" applyBorder="1" applyAlignment="1">
      <alignment horizontal="center" vertical="center" wrapText="1" readingOrder="1"/>
    </xf>
    <xf numFmtId="1" fontId="1" fillId="7" borderId="3" xfId="0" applyNumberFormat="1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2" fontId="1" fillId="7" borderId="3" xfId="0" applyNumberFormat="1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164" fontId="1" fillId="9" borderId="3" xfId="0" applyNumberFormat="1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1" fontId="1" fillId="0" borderId="0" xfId="0" applyNumberFormat="1" applyFont="1" applyAlignment="1">
      <alignment horizontal="center" vertical="center"/>
    </xf>
    <xf numFmtId="43" fontId="7" fillId="0" borderId="0" xfId="1" applyFont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19638-933B-4D54-9058-F1F14CDF6152}">
  <dimension ref="A1:AF12"/>
  <sheetViews>
    <sheetView tabSelected="1" zoomScale="66" workbookViewId="0">
      <selection activeCell="J5" sqref="J5"/>
    </sheetView>
  </sheetViews>
  <sheetFormatPr defaultRowHeight="14.5" x14ac:dyDescent="0.35"/>
  <cols>
    <col min="1" max="1" width="5.81640625" style="40" customWidth="1"/>
    <col min="2" max="2" width="24.453125" style="3" customWidth="1"/>
    <col min="3" max="3" width="12.81640625" style="3" customWidth="1"/>
    <col min="4" max="4" width="17.6328125" style="3" customWidth="1"/>
    <col min="5" max="8" width="8.7265625" style="3"/>
    <col min="9" max="9" width="11.7265625" style="3" customWidth="1"/>
    <col min="10" max="10" width="12" style="3" customWidth="1"/>
    <col min="11" max="11" width="8.7265625" style="3"/>
    <col min="12" max="12" width="18.08984375" style="3" customWidth="1"/>
    <col min="13" max="13" width="8.7265625" style="3"/>
    <col min="14" max="14" width="18.1796875" style="3" customWidth="1"/>
    <col min="15" max="16" width="8.7265625" style="3"/>
    <col min="17" max="19" width="8.81640625" style="3" bestFit="1" customWidth="1"/>
    <col min="20" max="20" width="8.81640625" style="3" customWidth="1"/>
    <col min="21" max="23" width="8.81640625" style="3" bestFit="1" customWidth="1"/>
    <col min="24" max="24" width="16.26953125" style="43" customWidth="1"/>
    <col min="25" max="25" width="15.08984375" style="3" customWidth="1"/>
    <col min="26" max="26" width="8.81640625" style="3" bestFit="1" customWidth="1"/>
    <col min="27" max="27" width="11" style="3" bestFit="1" customWidth="1"/>
    <col min="28" max="28" width="14.08984375" style="3" customWidth="1"/>
    <col min="29" max="29" width="8.81640625" style="3" bestFit="1" customWidth="1"/>
    <col min="30" max="16384" width="8.7265625" style="3"/>
  </cols>
  <sheetData>
    <row r="1" spans="1:32" ht="26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32" s="14" customFormat="1" ht="41.5" customHeight="1" x14ac:dyDescent="0.35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/>
      <c r="H2" s="7"/>
      <c r="I2" s="7"/>
      <c r="J2" s="7"/>
      <c r="K2" s="7"/>
      <c r="L2" s="8" t="s">
        <v>7</v>
      </c>
      <c r="M2" s="9"/>
      <c r="N2" s="9"/>
      <c r="O2" s="9"/>
      <c r="P2" s="9"/>
      <c r="Q2" s="9"/>
      <c r="R2" s="9"/>
      <c r="S2" s="10" t="s">
        <v>8</v>
      </c>
      <c r="T2" s="10"/>
      <c r="U2" s="9"/>
      <c r="V2" s="9"/>
      <c r="W2" s="9"/>
      <c r="X2" s="11" t="s">
        <v>9</v>
      </c>
      <c r="Y2" s="12" t="s">
        <v>10</v>
      </c>
      <c r="Z2" s="12" t="s">
        <v>11</v>
      </c>
      <c r="AA2" s="12" t="s">
        <v>12</v>
      </c>
      <c r="AB2" s="13" t="s">
        <v>13</v>
      </c>
    </row>
    <row r="3" spans="1:32" ht="43.5" x14ac:dyDescent="0.35">
      <c r="A3" s="4"/>
      <c r="B3" s="15" t="s">
        <v>14</v>
      </c>
      <c r="C3" s="6"/>
      <c r="D3" s="6"/>
      <c r="E3" s="6"/>
      <c r="F3" s="6"/>
      <c r="G3" s="6" t="s">
        <v>15</v>
      </c>
      <c r="H3" s="6" t="s">
        <v>16</v>
      </c>
      <c r="I3" s="7" t="s">
        <v>17</v>
      </c>
      <c r="J3" s="6" t="s">
        <v>43</v>
      </c>
      <c r="K3" s="6" t="s">
        <v>18</v>
      </c>
      <c r="L3" s="8" t="s">
        <v>19</v>
      </c>
      <c r="M3" s="8" t="s">
        <v>20</v>
      </c>
      <c r="N3" s="8" t="s">
        <v>21</v>
      </c>
      <c r="O3" s="8" t="s">
        <v>22</v>
      </c>
      <c r="P3" s="8" t="s">
        <v>23</v>
      </c>
      <c r="Q3" s="8" t="s">
        <v>24</v>
      </c>
      <c r="R3" s="16" t="s">
        <v>25</v>
      </c>
      <c r="S3" s="17" t="s">
        <v>26</v>
      </c>
      <c r="T3" s="18" t="s">
        <v>27</v>
      </c>
      <c r="U3" s="10" t="s">
        <v>28</v>
      </c>
      <c r="V3" s="17" t="s">
        <v>29</v>
      </c>
      <c r="W3" s="17" t="s">
        <v>29</v>
      </c>
      <c r="X3" s="19"/>
      <c r="Y3" s="12"/>
      <c r="Z3" s="12"/>
      <c r="AA3" s="12"/>
      <c r="AB3" s="13"/>
    </row>
    <row r="4" spans="1:32" ht="29" x14ac:dyDescent="0.35">
      <c r="A4" s="4"/>
      <c r="B4" s="20"/>
      <c r="C4" s="6"/>
      <c r="D4" s="6"/>
      <c r="E4" s="6"/>
      <c r="F4" s="6"/>
      <c r="G4" s="20"/>
      <c r="H4" s="6"/>
      <c r="I4" s="7" t="s">
        <v>30</v>
      </c>
      <c r="J4" s="20"/>
      <c r="K4" s="20"/>
      <c r="L4" s="20"/>
      <c r="M4" s="20"/>
      <c r="N4" s="20"/>
      <c r="O4" s="20"/>
      <c r="P4" s="20"/>
      <c r="Q4" s="20"/>
      <c r="R4" s="20"/>
      <c r="S4" s="17" t="s">
        <v>31</v>
      </c>
      <c r="T4" s="21"/>
      <c r="U4" s="20"/>
      <c r="V4" s="17" t="s">
        <v>32</v>
      </c>
      <c r="W4" s="17" t="s">
        <v>33</v>
      </c>
      <c r="X4" s="22"/>
      <c r="Y4" s="12"/>
      <c r="Z4" s="12"/>
      <c r="AA4" s="12"/>
      <c r="AB4" s="13"/>
    </row>
    <row r="5" spans="1:32" s="35" customFormat="1" ht="23.5" customHeight="1" x14ac:dyDescent="0.35">
      <c r="A5" s="23">
        <v>2</v>
      </c>
      <c r="B5" s="24" t="s">
        <v>34</v>
      </c>
      <c r="C5" s="25">
        <f>E5/D8</f>
        <v>40497.975101244934</v>
      </c>
      <c r="D5" s="26">
        <f>C5*D8*D9</f>
        <v>7209000</v>
      </c>
      <c r="E5" s="26">
        <v>270</v>
      </c>
      <c r="F5" s="26"/>
      <c r="G5" s="24" t="s">
        <v>35</v>
      </c>
      <c r="H5" s="24">
        <v>10</v>
      </c>
      <c r="I5" s="24" t="s">
        <v>36</v>
      </c>
      <c r="J5" s="24">
        <v>14</v>
      </c>
      <c r="K5" s="24">
        <v>6800</v>
      </c>
      <c r="L5" s="27" t="s">
        <v>37</v>
      </c>
      <c r="M5" s="27">
        <v>5</v>
      </c>
      <c r="N5" s="27" t="s">
        <v>37</v>
      </c>
      <c r="O5" s="27">
        <v>46</v>
      </c>
      <c r="P5" s="27">
        <v>28</v>
      </c>
      <c r="Q5" s="27">
        <v>9</v>
      </c>
      <c r="R5" s="28">
        <v>9</v>
      </c>
      <c r="S5" s="29">
        <f>M5*Q5</f>
        <v>45</v>
      </c>
      <c r="T5" s="29">
        <f>V5/S5</f>
        <v>1118</v>
      </c>
      <c r="U5" s="29">
        <v>46</v>
      </c>
      <c r="V5" s="29">
        <v>50310</v>
      </c>
      <c r="W5" s="29">
        <f>U5*T5</f>
        <v>51428</v>
      </c>
      <c r="X5" s="30">
        <f>V5+W5</f>
        <v>101738</v>
      </c>
      <c r="Y5" s="31">
        <f>X5-Z5</f>
        <v>61230.024898755066</v>
      </c>
      <c r="Z5" s="32">
        <f>C5+H5</f>
        <v>40507.975101244934</v>
      </c>
      <c r="AA5" s="33">
        <f>X5/Z5%</f>
        <v>251.15548171864381</v>
      </c>
      <c r="AB5" s="34">
        <v>13.8</v>
      </c>
    </row>
    <row r="6" spans="1:32" ht="23.5" customHeight="1" x14ac:dyDescent="0.35">
      <c r="A6" s="23">
        <v>4</v>
      </c>
      <c r="B6" s="24" t="s">
        <v>38</v>
      </c>
      <c r="C6" s="25">
        <f>E6/D8</f>
        <v>104994.75026248688</v>
      </c>
      <c r="D6" s="26">
        <f>C6*D8*D9</f>
        <v>18690000</v>
      </c>
      <c r="E6" s="26">
        <v>700</v>
      </c>
      <c r="F6" s="26"/>
      <c r="G6" s="24" t="s">
        <v>35</v>
      </c>
      <c r="H6" s="24">
        <v>10</v>
      </c>
      <c r="I6" s="24" t="s">
        <v>36</v>
      </c>
      <c r="J6" s="24">
        <v>14</v>
      </c>
      <c r="K6" s="24">
        <v>16800</v>
      </c>
      <c r="L6" s="27" t="s">
        <v>39</v>
      </c>
      <c r="M6" s="27">
        <v>5</v>
      </c>
      <c r="N6" s="27" t="s">
        <v>39</v>
      </c>
      <c r="O6" s="27">
        <v>29</v>
      </c>
      <c r="P6" s="27">
        <v>28</v>
      </c>
      <c r="Q6" s="27">
        <v>12</v>
      </c>
      <c r="R6" s="28">
        <v>12</v>
      </c>
      <c r="S6" s="29">
        <f t="shared" ref="S6:S7" si="0">M6*Q6</f>
        <v>60</v>
      </c>
      <c r="T6" s="29">
        <v>3575</v>
      </c>
      <c r="U6" s="29">
        <v>29</v>
      </c>
      <c r="V6" s="29">
        <f>S6*T6</f>
        <v>214500</v>
      </c>
      <c r="W6" s="29">
        <f>T6*U6</f>
        <v>103675</v>
      </c>
      <c r="X6" s="30">
        <f>V6+W6</f>
        <v>318175</v>
      </c>
      <c r="Y6" s="31">
        <f t="shared" ref="Y6:Y7" si="1">X6-Z6</f>
        <v>213170.24973751314</v>
      </c>
      <c r="Z6" s="32">
        <f>C6+H6</f>
        <v>105004.75026248688</v>
      </c>
      <c r="AA6" s="33">
        <f>X6/Z6%</f>
        <v>303.01010116650747</v>
      </c>
      <c r="AB6" s="34">
        <v>17</v>
      </c>
      <c r="AC6" s="35"/>
      <c r="AD6" s="35"/>
      <c r="AE6" s="35"/>
      <c r="AF6" s="35"/>
    </row>
    <row r="7" spans="1:32" x14ac:dyDescent="0.35">
      <c r="A7" s="23">
        <v>9</v>
      </c>
      <c r="B7" s="24" t="s">
        <v>40</v>
      </c>
      <c r="C7" s="36">
        <f>E7/D8</f>
        <v>8999.5500224988755</v>
      </c>
      <c r="D7" s="37">
        <f>C7*D8*D9</f>
        <v>1602000.0000000002</v>
      </c>
      <c r="E7" s="37">
        <v>60</v>
      </c>
      <c r="F7" s="37"/>
      <c r="G7" s="37" t="s">
        <v>41</v>
      </c>
      <c r="H7" s="37">
        <v>10</v>
      </c>
      <c r="I7" s="37" t="s">
        <v>36</v>
      </c>
      <c r="J7" s="37">
        <v>14</v>
      </c>
      <c r="K7" s="37">
        <v>3000</v>
      </c>
      <c r="L7" s="38" t="s">
        <v>42</v>
      </c>
      <c r="M7" s="38">
        <v>10</v>
      </c>
      <c r="N7" s="38" t="s">
        <v>42</v>
      </c>
      <c r="O7" s="38">
        <v>35</v>
      </c>
      <c r="P7" s="38">
        <v>90</v>
      </c>
      <c r="Q7" s="38">
        <f>R7*30/P7</f>
        <v>2</v>
      </c>
      <c r="R7" s="28">
        <v>6</v>
      </c>
      <c r="S7" s="29">
        <f t="shared" si="0"/>
        <v>20</v>
      </c>
      <c r="T7" s="29">
        <v>325</v>
      </c>
      <c r="U7" s="39">
        <v>35</v>
      </c>
      <c r="V7" s="39">
        <f>T7*S7</f>
        <v>6500</v>
      </c>
      <c r="W7" s="39">
        <f>T7*U7</f>
        <v>11375</v>
      </c>
      <c r="X7" s="30">
        <f>V7+W7</f>
        <v>17875</v>
      </c>
      <c r="Y7" s="31">
        <f t="shared" si="1"/>
        <v>8865.4499775011245</v>
      </c>
      <c r="Z7" s="32">
        <f>C7+H7</f>
        <v>9009.5500224988755</v>
      </c>
      <c r="AA7" s="33">
        <f>X7/Z7%</f>
        <v>198.40058554935706</v>
      </c>
      <c r="AB7" s="34">
        <v>12</v>
      </c>
      <c r="AC7" s="35"/>
      <c r="AD7" s="35"/>
      <c r="AE7" s="35"/>
      <c r="AF7" s="35"/>
    </row>
    <row r="8" spans="1:32" x14ac:dyDescent="0.35">
      <c r="C8" s="41"/>
      <c r="D8" s="42">
        <v>6.6670000000000002E-3</v>
      </c>
      <c r="E8" s="41"/>
      <c r="AC8" s="35"/>
      <c r="AD8" s="35"/>
      <c r="AE8" s="35"/>
      <c r="AF8" s="35"/>
    </row>
    <row r="9" spans="1:32" x14ac:dyDescent="0.35">
      <c r="C9" s="41"/>
      <c r="D9" s="44">
        <v>26700</v>
      </c>
      <c r="E9" s="41"/>
      <c r="AC9" s="35"/>
      <c r="AD9" s="35"/>
      <c r="AE9" s="35"/>
      <c r="AF9" s="35"/>
    </row>
    <row r="10" spans="1:32" x14ac:dyDescent="0.35">
      <c r="C10" s="41"/>
      <c r="D10" s="41"/>
      <c r="E10" s="41"/>
    </row>
    <row r="11" spans="1:32" x14ac:dyDescent="0.35">
      <c r="C11" s="41"/>
      <c r="D11" s="41"/>
      <c r="E11" s="41"/>
    </row>
    <row r="12" spans="1:32" x14ac:dyDescent="0.35">
      <c r="C12" s="41"/>
      <c r="D12" s="41"/>
      <c r="E12" s="41"/>
    </row>
  </sheetData>
  <mergeCells count="27">
    <mergeCell ref="U3:U4"/>
    <mergeCell ref="N3:N4"/>
    <mergeCell ref="O3:O4"/>
    <mergeCell ref="P3:P4"/>
    <mergeCell ref="Q3:Q4"/>
    <mergeCell ref="R3:R4"/>
    <mergeCell ref="T3:T4"/>
    <mergeCell ref="Z2:Z4"/>
    <mergeCell ref="AA2:AA4"/>
    <mergeCell ref="AB2:AB4"/>
    <mergeCell ref="B3:B4"/>
    <mergeCell ref="G3:G4"/>
    <mergeCell ref="H3:H4"/>
    <mergeCell ref="J3:J4"/>
    <mergeCell ref="K3:K4"/>
    <mergeCell ref="L3:L4"/>
    <mergeCell ref="M3:M4"/>
    <mergeCell ref="A1:AB1"/>
    <mergeCell ref="A2:A4"/>
    <mergeCell ref="C2:C4"/>
    <mergeCell ref="D2:D4"/>
    <mergeCell ref="E2:E4"/>
    <mergeCell ref="F2:F4"/>
    <mergeCell ref="L2:R2"/>
    <mergeCell ref="S2:W2"/>
    <mergeCell ref="X2:X4"/>
    <mergeCell ref="Y2: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Cây trồng lâu năm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Phuong Anh</dc:creator>
  <cp:lastModifiedBy>Nguyen Phuong Anh</cp:lastModifiedBy>
  <dcterms:created xsi:type="dcterms:W3CDTF">2026-05-28T13:16:35Z</dcterms:created>
  <dcterms:modified xsi:type="dcterms:W3CDTF">2026-05-28T13:19:54Z</dcterms:modified>
</cp:coreProperties>
</file>