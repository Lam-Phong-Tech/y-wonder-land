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8_{E9A9090B-916E-4599-8D7A-83D9B34E304A}" xr6:coauthVersionLast="47" xr6:coauthVersionMax="47" xr10:uidLastSave="{00000000-0000-0000-0000-000000000000}"/>
  <bookViews>
    <workbookView xWindow="-110" yWindow="-110" windowWidth="19420" windowHeight="11500" xr2:uid="{6AF733D9-CD90-4679-8E6C-D5D84A63E95B}"/>
  </bookViews>
  <sheets>
    <sheet name="Thuyết minh cách tính vật nuô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D33" i="1" s="1"/>
  <c r="D36" i="1" s="1"/>
  <c r="D30" i="1"/>
  <c r="D37" i="1" s="1"/>
  <c r="D29" i="1"/>
  <c r="D27" i="1"/>
  <c r="D25" i="1"/>
  <c r="D16" i="1"/>
  <c r="D38" i="1" s="1"/>
  <c r="D15" i="1"/>
  <c r="D5" i="1"/>
  <c r="D39" i="1" l="1"/>
  <c r="D40" i="1"/>
</calcChain>
</file>

<file path=xl/sharedStrings.xml><?xml version="1.0" encoding="utf-8"?>
<sst xmlns="http://schemas.openxmlformats.org/spreadsheetml/2006/main" count="86" uniqueCount="84">
  <si>
    <t>THUYẾT MINH CÁCH TÍNH</t>
  </si>
  <si>
    <t>Thông tin vật nuôi</t>
  </si>
  <si>
    <t>Con Giống</t>
  </si>
  <si>
    <t>Bò sữa</t>
  </si>
  <si>
    <t>Cách tính</t>
  </si>
  <si>
    <t>Mô tả</t>
  </si>
  <si>
    <t>Định Giá</t>
  </si>
  <si>
    <t>USDT</t>
  </si>
  <si>
    <t>Quy đổi ra VND</t>
  </si>
  <si>
    <t>?</t>
  </si>
  <si>
    <t>Slot trồng (Ô CHUỒNG)</t>
  </si>
  <si>
    <t>9 Slot</t>
  </si>
  <si>
    <t>Thức ăn 1 (Chính)</t>
  </si>
  <si>
    <t>4 Cỏ Voi</t>
  </si>
  <si>
    <t>Thức ăn 2 (thay thế)</t>
  </si>
  <si>
    <t>2 Khoai Lang</t>
  </si>
  <si>
    <t>Chu kỳ cho ăn (ngày)</t>
  </si>
  <si>
    <t>EXP thu hoạch Lần cuối</t>
  </si>
  <si>
    <t>Phòng/Chữa Bệnh</t>
  </si>
  <si>
    <t>Thời điểm phát bệnh</t>
  </si>
  <si>
    <t>Tỉ lệ phát bệnh</t>
  </si>
  <si>
    <t>Số lượng Vắc-xin cần</t>
  </si>
  <si>
    <t>Gía vắc- xin = 30</t>
  </si>
  <si>
    <t xml:space="preserve"> Tổng chi phí Vắc -xin</t>
  </si>
  <si>
    <t>Tổng chi phí vắc- xin = Số lượng vắc- xin * giá vắc- xin</t>
  </si>
  <si>
    <t>120 = 4*30</t>
  </si>
  <si>
    <t xml:space="preserve"> Tổng chi phí thuốc</t>
  </si>
  <si>
    <t>Tổng chi phí thuốc = Số lượng thuốc * giá thuốc</t>
  </si>
  <si>
    <t>Giá thuốc = 70</t>
  </si>
  <si>
    <t>Số lượng thuốc trị bệnh cần</t>
  </si>
  <si>
    <t>Sản phẩm thu hoạch</t>
  </si>
  <si>
    <t>Product 1</t>
  </si>
  <si>
    <t>Sữa bò</t>
  </si>
  <si>
    <t>Số lượng Pro1</t>
  </si>
  <si>
    <t>Product 2</t>
  </si>
  <si>
    <t>Thịt bò</t>
  </si>
  <si>
    <t>Số lượng Pro2</t>
  </si>
  <si>
    <t>Chu kỳ thu hoạch (ngày)</t>
  </si>
  <si>
    <t>Tổng chu kỳ thu hoạch (LẦN THU)</t>
  </si>
  <si>
    <t>Tổng số lần thu = (Số tháng nuôi * 30)/ chu kỳ thu hoạch</t>
  </si>
  <si>
    <t>Chỉ lấy phần nguyên 38,4 chỉ lấy 38</t>
  </si>
  <si>
    <t>Số Tháng Nuôi</t>
  </si>
  <si>
    <t>Tính toán thu hoạch</t>
  </si>
  <si>
    <t>Tổng Product 1</t>
  </si>
  <si>
    <t>( all chu kỳ)</t>
  </si>
  <si>
    <t>Tổng Product 1 = Tổng số lần thu * Số lượng Pro 1</t>
  </si>
  <si>
    <t xml:space="preserve">380 = 38 * 10 </t>
  </si>
  <si>
    <t>Giá Product 1</t>
  </si>
  <si>
    <t>Tổng Product 2 (Final harverst)</t>
  </si>
  <si>
    <t>Giá product 2</t>
  </si>
  <si>
    <t>Tổng Giá trị</t>
  </si>
  <si>
    <t>thu lại (Pro1)</t>
  </si>
  <si>
    <t>Tổng giá trị thu lại Pro 1 = Tổng Product 1 * Giá Product1</t>
  </si>
  <si>
    <t>115900 = 380 * 305</t>
  </si>
  <si>
    <t>thu lại (Pro2)</t>
  </si>
  <si>
    <t>Tổng giá trị thu lại Pro 2 = Tổng Product 2 * Giá Product2</t>
  </si>
  <si>
    <t>98750 = 50 * 1975</t>
  </si>
  <si>
    <t>Tỷ suất lợi nhuận dự kiến</t>
  </si>
  <si>
    <t>Số lần cho ăn</t>
  </si>
  <si>
    <t>Số lần cho ăn trong chu kỳ nuôi</t>
  </si>
  <si>
    <t>Số lượng thức ăn (Loại thức ăn)</t>
  </si>
  <si>
    <t>Trong một chu kỳ nuôi</t>
  </si>
  <si>
    <t>Loại thức ăn</t>
  </si>
  <si>
    <t>Thức ăn chính</t>
  </si>
  <si>
    <t>Cỏ voi</t>
  </si>
  <si>
    <t>Giá</t>
  </si>
  <si>
    <t>Tính theo giá trồng được</t>
  </si>
  <si>
    <t>Chi phí cho ăn</t>
  </si>
  <si>
    <t>Tổng chi phí thức ăn trong một chu kỳ nuôi</t>
  </si>
  <si>
    <t>Doanh thu</t>
  </si>
  <si>
    <t>Doanh thu = Tổng giá trị Pro 1 + tổng giá trị Pro 2</t>
  </si>
  <si>
    <t>214650 = 115900 + 98750</t>
  </si>
  <si>
    <t>Tổng chi phí</t>
  </si>
  <si>
    <t>Tổng chi phí = Tỷ lệ phát bệnh*( Định giá + Tổng chi phí cho ăn trong một chu kỳ + Tổng chi phí vắc - xin + Tổng chi phí thuốc) +(1 - tỷ lệ phát bệnh)*(Định giá + Tổng chi phí cho ăn trong một chu kỳ + Tổng chi phí vắc - xin)</t>
  </si>
  <si>
    <t>85897.7501 = 0.4*(44997.7501 + 40500 +120+700)+ (1-0.4)*(44997.7501 + 40500 +120)</t>
  </si>
  <si>
    <t>Tổng lợi nhuận</t>
  </si>
  <si>
    <t>Tổng lợi nhuận = Doanh thu - Tổng chi phí</t>
  </si>
  <si>
    <t>128752.25 = 214650 - 85897.75</t>
  </si>
  <si>
    <t>Lợi nhuận thu hoạch tổng</t>
  </si>
  <si>
    <t>Tỷ suất lợi nhuân thu hoạch tổng=  Doanh thu/ Tổng chi phí x 100%</t>
  </si>
  <si>
    <t>249.89 =(214650/ 85897.75)%</t>
  </si>
  <si>
    <t xml:space="preserve">Tỷ suất lợi nhuận 1 tháng dựa trên việc thu hoạch product 1 </t>
  </si>
  <si>
    <t>Tỷ suất lợi nhuận 1 tháng dựa trên việc thu hoạch Pro1= [(Tổng giá trị thu lại Pro 1 / Tổng chi phí) *100]/ Số tháng nuôi</t>
  </si>
  <si>
    <t>15 = [(115900/ 85897.75)*100] 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</si>
</sst>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0" fillId="7" borderId="2" xfId="0" applyFill="1" applyBorder="1" applyAlignment="1">
      <alignment wrapText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43" fontId="6" fillId="8" borderId="2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6" fillId="9" borderId="2" xfId="0" applyFont="1" applyFill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 vertical="center" wrapText="1" readingOrder="1"/>
    </xf>
    <xf numFmtId="0" fontId="5" fillId="11" borderId="2" xfId="0" applyFont="1" applyFill="1" applyBorder="1" applyAlignment="1">
      <alignment horizontal="center" vertical="center" wrapText="1" readingOrder="1"/>
    </xf>
    <xf numFmtId="9" fontId="6" fillId="12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 wrapText="1" readingOrder="1"/>
    </xf>
    <xf numFmtId="0" fontId="4" fillId="11" borderId="2" xfId="0" applyFont="1" applyFill="1" applyBorder="1" applyAlignment="1">
      <alignment horizontal="center" vertical="center" wrapText="1" readingOrder="1"/>
    </xf>
    <xf numFmtId="0" fontId="6" fillId="13" borderId="2" xfId="0" applyFont="1" applyFill="1" applyBorder="1" applyAlignment="1">
      <alignment horizontal="center" vertical="center" wrapText="1" readingOrder="1"/>
    </xf>
    <xf numFmtId="164" fontId="6" fillId="13" borderId="2" xfId="0" applyNumberFormat="1" applyFont="1" applyFill="1" applyBorder="1" applyAlignment="1">
      <alignment horizontal="center" vertical="center" wrapText="1" readingOrder="1"/>
    </xf>
    <xf numFmtId="0" fontId="7" fillId="11" borderId="2" xfId="0" applyFont="1" applyFill="1" applyBorder="1" applyAlignment="1">
      <alignment horizontal="center" vertical="center" wrapText="1" readingOrder="1"/>
    </xf>
    <xf numFmtId="0" fontId="7" fillId="13" borderId="2" xfId="0" applyFont="1" applyFill="1" applyBorder="1" applyAlignment="1">
      <alignment horizontal="center" vertical="center" wrapText="1" readingOrder="1"/>
    </xf>
    <xf numFmtId="0" fontId="4" fillId="14" borderId="2" xfId="0" applyFont="1" applyFill="1" applyBorder="1" applyAlignment="1">
      <alignment horizontal="center" vertical="center" wrapText="1" readingOrder="1"/>
    </xf>
    <xf numFmtId="0" fontId="5" fillId="14" borderId="2" xfId="0" applyFont="1" applyFill="1" applyBorder="1" applyAlignment="1">
      <alignment horizontal="center" vertical="center" wrapText="1" readingOrder="1"/>
    </xf>
    <xf numFmtId="0" fontId="6" fillId="12" borderId="2" xfId="0" applyFont="1" applyFill="1" applyBorder="1" applyAlignment="1">
      <alignment horizontal="center" vertical="center" wrapText="1" readingOrder="1"/>
    </xf>
    <xf numFmtId="0" fontId="5" fillId="15" borderId="5" xfId="0" applyFont="1" applyFill="1" applyBorder="1" applyAlignment="1">
      <alignment horizontal="center" vertical="center" wrapText="1" readingOrder="1"/>
    </xf>
    <xf numFmtId="0" fontId="5" fillId="15" borderId="6" xfId="0" applyFont="1" applyFill="1" applyBorder="1" applyAlignment="1">
      <alignment horizontal="center" vertical="center" wrapText="1" readingOrder="1"/>
    </xf>
    <xf numFmtId="1" fontId="6" fillId="15" borderId="2" xfId="0" applyNumberFormat="1" applyFont="1" applyFill="1" applyBorder="1" applyAlignment="1">
      <alignment horizontal="center" vertical="center" wrapText="1" readingOrder="1"/>
    </xf>
    <xf numFmtId="0" fontId="5" fillId="14" borderId="2" xfId="0" applyFont="1" applyFill="1" applyBorder="1" applyAlignment="1">
      <alignment horizontal="center" vertical="center" wrapText="1" readingOrder="1"/>
    </xf>
    <xf numFmtId="3" fontId="6" fillId="6" borderId="2" xfId="0" applyNumberFormat="1" applyFont="1" applyFill="1" applyBorder="1" applyAlignment="1">
      <alignment horizontal="center" vertical="center" wrapText="1" readingOrder="1"/>
    </xf>
    <xf numFmtId="0" fontId="3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 readingOrder="1"/>
    </xf>
    <xf numFmtId="10" fontId="6" fillId="13" borderId="2" xfId="0" applyNumberFormat="1" applyFont="1" applyFill="1" applyBorder="1" applyAlignment="1">
      <alignment horizontal="center" vertical="center" wrapText="1" readingOrder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 wrapText="1"/>
    </xf>
    <xf numFmtId="2" fontId="0" fillId="18" borderId="2" xfId="0" applyNumberForma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F6E7-8E58-4B04-B611-3B5055F5184A}">
  <dimension ref="A1:F41"/>
  <sheetViews>
    <sheetView tabSelected="1" zoomScale="53" workbookViewId="0">
      <selection activeCell="E11" sqref="E11"/>
    </sheetView>
  </sheetViews>
  <sheetFormatPr defaultRowHeight="14.5" x14ac:dyDescent="0.35"/>
  <cols>
    <col min="1" max="1" width="15.81640625" customWidth="1"/>
    <col min="2" max="2" width="15.36328125" customWidth="1"/>
    <col min="3" max="3" width="18.08984375" customWidth="1"/>
    <col min="4" max="4" width="14.81640625" customWidth="1"/>
    <col min="5" max="5" width="58.1796875" style="49" customWidth="1"/>
    <col min="6" max="6" width="89.54296875" style="49" customWidth="1"/>
  </cols>
  <sheetData>
    <row r="1" spans="1:6" ht="26" x14ac:dyDescent="0.6">
      <c r="A1" s="1" t="s">
        <v>0</v>
      </c>
      <c r="B1" s="1"/>
      <c r="C1" s="1"/>
      <c r="D1" s="1"/>
      <c r="E1" s="1"/>
      <c r="F1" s="1"/>
    </row>
    <row r="2" spans="1:6" ht="31" x14ac:dyDescent="0.35">
      <c r="A2" s="2" t="s">
        <v>1</v>
      </c>
      <c r="B2" s="3" t="s">
        <v>2</v>
      </c>
      <c r="C2" s="3"/>
      <c r="D2" s="4" t="s">
        <v>3</v>
      </c>
      <c r="E2" s="5" t="s">
        <v>4</v>
      </c>
      <c r="F2" s="5" t="s">
        <v>5</v>
      </c>
    </row>
    <row r="3" spans="1:6" x14ac:dyDescent="0.35">
      <c r="A3" s="6"/>
      <c r="B3" s="7" t="s">
        <v>6</v>
      </c>
      <c r="C3" s="7"/>
      <c r="D3" s="8">
        <v>44997.750099999997</v>
      </c>
      <c r="E3" s="9"/>
      <c r="F3" s="9"/>
    </row>
    <row r="4" spans="1:6" x14ac:dyDescent="0.35">
      <c r="A4" s="6"/>
      <c r="B4" s="10" t="s">
        <v>7</v>
      </c>
      <c r="C4" s="11"/>
      <c r="D4" s="8">
        <v>300</v>
      </c>
      <c r="E4" s="9"/>
      <c r="F4" s="9"/>
    </row>
    <row r="5" spans="1:6" x14ac:dyDescent="0.35">
      <c r="A5" s="6"/>
      <c r="B5" s="12" t="s">
        <v>8</v>
      </c>
      <c r="C5" s="13"/>
      <c r="D5" s="14">
        <f>D3*N5*O5</f>
        <v>0</v>
      </c>
      <c r="E5" s="9"/>
      <c r="F5" s="9"/>
    </row>
    <row r="6" spans="1:6" x14ac:dyDescent="0.35">
      <c r="A6" s="6"/>
      <c r="B6" s="12" t="s">
        <v>9</v>
      </c>
      <c r="C6" s="13"/>
      <c r="D6" s="14">
        <v>299.88</v>
      </c>
      <c r="E6" s="9"/>
      <c r="F6" s="9"/>
    </row>
    <row r="7" spans="1:6" x14ac:dyDescent="0.35">
      <c r="A7" s="6"/>
      <c r="B7" s="15" t="s">
        <v>10</v>
      </c>
      <c r="C7" s="15"/>
      <c r="D7" s="16" t="s">
        <v>11</v>
      </c>
      <c r="E7" s="9"/>
      <c r="F7" s="9"/>
    </row>
    <row r="8" spans="1:6" x14ac:dyDescent="0.35">
      <c r="A8" s="6"/>
      <c r="B8" s="7" t="s">
        <v>12</v>
      </c>
      <c r="C8" s="7"/>
      <c r="D8" s="8" t="s">
        <v>13</v>
      </c>
      <c r="E8" s="9"/>
      <c r="F8" s="9"/>
    </row>
    <row r="9" spans="1:6" x14ac:dyDescent="0.35">
      <c r="A9" s="6"/>
      <c r="B9" s="7" t="s">
        <v>14</v>
      </c>
      <c r="C9" s="7"/>
      <c r="D9" s="16" t="s">
        <v>15</v>
      </c>
      <c r="E9" s="9"/>
      <c r="F9" s="9"/>
    </row>
    <row r="10" spans="1:6" x14ac:dyDescent="0.35">
      <c r="A10" s="6"/>
      <c r="B10" s="7" t="s">
        <v>16</v>
      </c>
      <c r="C10" s="7"/>
      <c r="D10" s="16">
        <v>1</v>
      </c>
      <c r="E10" s="9"/>
      <c r="F10" s="9"/>
    </row>
    <row r="11" spans="1:6" x14ac:dyDescent="0.35">
      <c r="A11" s="6"/>
      <c r="B11" s="7" t="s">
        <v>17</v>
      </c>
      <c r="C11" s="7"/>
      <c r="D11" s="16">
        <v>10000</v>
      </c>
      <c r="E11" s="9"/>
      <c r="F11" s="9"/>
    </row>
    <row r="12" spans="1:6" x14ac:dyDescent="0.35">
      <c r="A12" s="17" t="s">
        <v>18</v>
      </c>
      <c r="B12" s="18" t="s">
        <v>19</v>
      </c>
      <c r="C12" s="18"/>
      <c r="D12" s="19">
        <v>0.3</v>
      </c>
      <c r="E12" s="9"/>
      <c r="F12" s="9"/>
    </row>
    <row r="13" spans="1:6" x14ac:dyDescent="0.35">
      <c r="A13" s="20"/>
      <c r="B13" s="18" t="s">
        <v>20</v>
      </c>
      <c r="C13" s="18"/>
      <c r="D13" s="21">
        <v>0.4</v>
      </c>
      <c r="E13" s="9"/>
      <c r="F13" s="9"/>
    </row>
    <row r="14" spans="1:6" x14ac:dyDescent="0.35">
      <c r="A14" s="20"/>
      <c r="B14" s="18" t="s">
        <v>21</v>
      </c>
      <c r="C14" s="18"/>
      <c r="D14" s="8">
        <v>4</v>
      </c>
      <c r="E14" s="9"/>
      <c r="F14" s="9" t="s">
        <v>22</v>
      </c>
    </row>
    <row r="15" spans="1:6" x14ac:dyDescent="0.35">
      <c r="A15" s="20"/>
      <c r="B15" s="18" t="s">
        <v>23</v>
      </c>
      <c r="C15" s="18"/>
      <c r="D15" s="8">
        <f>D14*30</f>
        <v>120</v>
      </c>
      <c r="E15" s="9" t="s">
        <v>24</v>
      </c>
      <c r="F15" s="9" t="s">
        <v>25</v>
      </c>
    </row>
    <row r="16" spans="1:6" x14ac:dyDescent="0.35">
      <c r="A16" s="20"/>
      <c r="B16" s="18" t="s">
        <v>26</v>
      </c>
      <c r="C16" s="18"/>
      <c r="D16" s="8">
        <f>D17*70</f>
        <v>700</v>
      </c>
      <c r="E16" s="9" t="s">
        <v>27</v>
      </c>
      <c r="F16" s="9" t="s">
        <v>28</v>
      </c>
    </row>
    <row r="17" spans="1:6" x14ac:dyDescent="0.35">
      <c r="A17" s="20"/>
      <c r="B17" s="18" t="s">
        <v>29</v>
      </c>
      <c r="C17" s="18"/>
      <c r="D17" s="8">
        <v>10</v>
      </c>
      <c r="E17" s="9"/>
      <c r="F17" s="9"/>
    </row>
    <row r="18" spans="1:6" x14ac:dyDescent="0.35">
      <c r="A18" s="22" t="s">
        <v>30</v>
      </c>
      <c r="B18" s="18" t="s">
        <v>31</v>
      </c>
      <c r="C18" s="18"/>
      <c r="D18" s="23" t="s">
        <v>32</v>
      </c>
      <c r="E18" s="9"/>
      <c r="F18" s="9"/>
    </row>
    <row r="19" spans="1:6" x14ac:dyDescent="0.35">
      <c r="A19" s="20"/>
      <c r="B19" s="18" t="s">
        <v>33</v>
      </c>
      <c r="C19" s="18"/>
      <c r="D19" s="23">
        <v>10</v>
      </c>
      <c r="E19" s="9"/>
      <c r="F19" s="9"/>
    </row>
    <row r="20" spans="1:6" x14ac:dyDescent="0.35">
      <c r="A20" s="20"/>
      <c r="B20" s="18" t="s">
        <v>34</v>
      </c>
      <c r="C20" s="18"/>
      <c r="D20" s="23" t="s">
        <v>35</v>
      </c>
      <c r="E20" s="9"/>
      <c r="F20" s="9"/>
    </row>
    <row r="21" spans="1:6" x14ac:dyDescent="0.35">
      <c r="A21" s="20"/>
      <c r="B21" s="18" t="s">
        <v>36</v>
      </c>
      <c r="C21" s="18"/>
      <c r="D21" s="23">
        <v>50</v>
      </c>
      <c r="E21" s="9"/>
      <c r="F21" s="9"/>
    </row>
    <row r="22" spans="1:6" x14ac:dyDescent="0.35">
      <c r="A22" s="20"/>
      <c r="B22" s="18" t="s">
        <v>37</v>
      </c>
      <c r="C22" s="18"/>
      <c r="D22" s="23">
        <v>7</v>
      </c>
      <c r="E22" s="9"/>
      <c r="F22" s="9"/>
    </row>
    <row r="23" spans="1:6" x14ac:dyDescent="0.35">
      <c r="A23" s="20"/>
      <c r="B23" s="18" t="s">
        <v>38</v>
      </c>
      <c r="C23" s="18"/>
      <c r="D23" s="24">
        <v>38</v>
      </c>
      <c r="E23" s="9" t="s">
        <v>39</v>
      </c>
      <c r="F23" s="9" t="s">
        <v>40</v>
      </c>
    </row>
    <row r="24" spans="1:6" x14ac:dyDescent="0.35">
      <c r="A24" s="20"/>
      <c r="B24" s="25" t="s">
        <v>41</v>
      </c>
      <c r="C24" s="25"/>
      <c r="D24" s="26">
        <v>9</v>
      </c>
      <c r="E24" s="9"/>
      <c r="F24" s="9"/>
    </row>
    <row r="25" spans="1:6" x14ac:dyDescent="0.35">
      <c r="A25" s="27" t="s">
        <v>42</v>
      </c>
      <c r="B25" s="28" t="s">
        <v>43</v>
      </c>
      <c r="C25" s="28" t="s">
        <v>44</v>
      </c>
      <c r="D25" s="29">
        <f>38*D19</f>
        <v>380</v>
      </c>
      <c r="E25" s="9" t="s">
        <v>45</v>
      </c>
      <c r="F25" s="9" t="s">
        <v>46</v>
      </c>
    </row>
    <row r="26" spans="1:6" x14ac:dyDescent="0.35">
      <c r="A26" s="27"/>
      <c r="B26" s="30" t="s">
        <v>47</v>
      </c>
      <c r="C26" s="31"/>
      <c r="D26" s="32">
        <v>305</v>
      </c>
      <c r="E26" s="9"/>
      <c r="F26" s="9"/>
    </row>
    <row r="27" spans="1:6" x14ac:dyDescent="0.35">
      <c r="A27" s="20"/>
      <c r="B27" s="33" t="s">
        <v>48</v>
      </c>
      <c r="C27" s="33"/>
      <c r="D27" s="29">
        <f>D21</f>
        <v>50</v>
      </c>
      <c r="E27" s="9"/>
      <c r="F27" s="9"/>
    </row>
    <row r="28" spans="1:6" x14ac:dyDescent="0.35">
      <c r="A28" s="20"/>
      <c r="B28" s="30" t="s">
        <v>49</v>
      </c>
      <c r="C28" s="31"/>
      <c r="D28" s="29">
        <v>1975</v>
      </c>
      <c r="E28" s="9"/>
      <c r="F28" s="9"/>
    </row>
    <row r="29" spans="1:6" x14ac:dyDescent="0.35">
      <c r="A29" s="20"/>
      <c r="B29" s="28" t="s">
        <v>50</v>
      </c>
      <c r="C29" s="28" t="s">
        <v>51</v>
      </c>
      <c r="D29" s="34">
        <f>D25*305</f>
        <v>115900</v>
      </c>
      <c r="E29" s="9" t="s">
        <v>52</v>
      </c>
      <c r="F29" s="9" t="s">
        <v>53</v>
      </c>
    </row>
    <row r="30" spans="1:6" x14ac:dyDescent="0.35">
      <c r="A30" s="20"/>
      <c r="B30" s="28" t="s">
        <v>50</v>
      </c>
      <c r="C30" s="28" t="s">
        <v>54</v>
      </c>
      <c r="D30" s="34">
        <f>D28*D27</f>
        <v>98750</v>
      </c>
      <c r="E30" s="9" t="s">
        <v>55</v>
      </c>
      <c r="F30" s="9" t="s">
        <v>56</v>
      </c>
    </row>
    <row r="31" spans="1:6" ht="29" x14ac:dyDescent="0.35">
      <c r="A31" s="35" t="s">
        <v>57</v>
      </c>
      <c r="B31" s="36" t="s">
        <v>57</v>
      </c>
      <c r="C31" s="36"/>
      <c r="D31" s="37">
        <v>1.3142499999999999</v>
      </c>
      <c r="E31" s="9"/>
      <c r="F31" s="9"/>
    </row>
    <row r="32" spans="1:6" x14ac:dyDescent="0.35">
      <c r="A32" s="38" t="s">
        <v>58</v>
      </c>
      <c r="B32" s="39" t="s">
        <v>59</v>
      </c>
      <c r="C32" s="39"/>
      <c r="D32" s="40">
        <f>D24*30/D10</f>
        <v>270</v>
      </c>
      <c r="E32" s="9"/>
      <c r="F32" s="9"/>
    </row>
    <row r="33" spans="1:6" ht="29" x14ac:dyDescent="0.35">
      <c r="A33" s="38" t="s">
        <v>60</v>
      </c>
      <c r="B33" s="39" t="s">
        <v>61</v>
      </c>
      <c r="C33" s="39"/>
      <c r="D33" s="40">
        <f>D32*4</f>
        <v>1080</v>
      </c>
      <c r="E33" s="9"/>
      <c r="F33" s="9"/>
    </row>
    <row r="34" spans="1:6" x14ac:dyDescent="0.35">
      <c r="A34" s="38" t="s">
        <v>62</v>
      </c>
      <c r="B34" s="39" t="s">
        <v>63</v>
      </c>
      <c r="C34" s="39"/>
      <c r="D34" s="40" t="s">
        <v>64</v>
      </c>
      <c r="E34" s="9"/>
      <c r="F34" s="9"/>
    </row>
    <row r="35" spans="1:6" x14ac:dyDescent="0.35">
      <c r="A35" s="38" t="s">
        <v>65</v>
      </c>
      <c r="B35" s="39" t="s">
        <v>66</v>
      </c>
      <c r="C35" s="39"/>
      <c r="D35" s="40">
        <v>37.5</v>
      </c>
      <c r="E35" s="9"/>
      <c r="F35" s="9"/>
    </row>
    <row r="36" spans="1:6" x14ac:dyDescent="0.35">
      <c r="A36" s="38" t="s">
        <v>67</v>
      </c>
      <c r="B36" s="39" t="s">
        <v>68</v>
      </c>
      <c r="C36" s="39"/>
      <c r="D36" s="40">
        <f>D33*D35</f>
        <v>40500</v>
      </c>
      <c r="E36" s="9"/>
      <c r="F36" s="9"/>
    </row>
    <row r="37" spans="1:6" x14ac:dyDescent="0.35">
      <c r="A37" s="41" t="s">
        <v>69</v>
      </c>
      <c r="B37" s="41"/>
      <c r="C37" s="41"/>
      <c r="D37" s="42">
        <f>D29+D30</f>
        <v>214650</v>
      </c>
      <c r="E37" s="9" t="s">
        <v>70</v>
      </c>
      <c r="F37" s="9" t="s">
        <v>71</v>
      </c>
    </row>
    <row r="38" spans="1:6" ht="58" x14ac:dyDescent="0.35">
      <c r="A38" s="41" t="s">
        <v>72</v>
      </c>
      <c r="B38" s="41"/>
      <c r="C38" s="41"/>
      <c r="D38" s="43">
        <f xml:space="preserve"> D13*(D3+D15+D16+D36)+ (1-D13)*(D36+D3+D15)</f>
        <v>85897.750100000005</v>
      </c>
      <c r="E38" s="9" t="s">
        <v>73</v>
      </c>
      <c r="F38" s="9" t="s">
        <v>74</v>
      </c>
    </row>
    <row r="39" spans="1:6" x14ac:dyDescent="0.35">
      <c r="A39" s="41" t="s">
        <v>75</v>
      </c>
      <c r="B39" s="41"/>
      <c r="C39" s="41"/>
      <c r="D39" s="44">
        <f>D37-D38</f>
        <v>128752.2499</v>
      </c>
      <c r="E39" s="9" t="s">
        <v>76</v>
      </c>
      <c r="F39" s="9" t="s">
        <v>77</v>
      </c>
    </row>
    <row r="40" spans="1:6" ht="29" x14ac:dyDescent="0.35">
      <c r="A40" s="45" t="s">
        <v>78</v>
      </c>
      <c r="B40" s="45"/>
      <c r="C40" s="45"/>
      <c r="D40" s="46">
        <f>D37/D38%</f>
        <v>249.89013070785887</v>
      </c>
      <c r="E40" s="9" t="s">
        <v>79</v>
      </c>
      <c r="F40" s="9" t="s">
        <v>80</v>
      </c>
    </row>
    <row r="41" spans="1:6" ht="43.5" x14ac:dyDescent="0.35">
      <c r="A41" s="47" t="s">
        <v>81</v>
      </c>
      <c r="B41" s="47"/>
      <c r="C41" s="47"/>
      <c r="D41" s="48">
        <v>15</v>
      </c>
      <c r="E41" s="9" t="s">
        <v>82</v>
      </c>
      <c r="F41" s="9" t="s">
        <v>83</v>
      </c>
    </row>
  </sheetData>
  <mergeCells count="41">
    <mergeCell ref="A39:C39"/>
    <mergeCell ref="A40:C40"/>
    <mergeCell ref="A41:C41"/>
    <mergeCell ref="A1:F1"/>
    <mergeCell ref="B33:C33"/>
    <mergeCell ref="B34:C34"/>
    <mergeCell ref="B35:C35"/>
    <mergeCell ref="B36:C36"/>
    <mergeCell ref="A37:C37"/>
    <mergeCell ref="A38:C38"/>
    <mergeCell ref="A25:A30"/>
    <mergeCell ref="B26:C26"/>
    <mergeCell ref="B27:C27"/>
    <mergeCell ref="B28:C28"/>
    <mergeCell ref="B31:C31"/>
    <mergeCell ref="B32:C32"/>
    <mergeCell ref="B16:C16"/>
    <mergeCell ref="B17:C17"/>
    <mergeCell ref="A18:A24"/>
    <mergeCell ref="B18:C18"/>
    <mergeCell ref="B19:C19"/>
    <mergeCell ref="B20:C20"/>
    <mergeCell ref="B21:C21"/>
    <mergeCell ref="B22:C22"/>
    <mergeCell ref="B23:C23"/>
    <mergeCell ref="B24:C24"/>
    <mergeCell ref="B7:C7"/>
    <mergeCell ref="B8:C8"/>
    <mergeCell ref="B9:C9"/>
    <mergeCell ref="B10:C10"/>
    <mergeCell ref="B11:C11"/>
    <mergeCell ref="A12:A17"/>
    <mergeCell ref="B12:C12"/>
    <mergeCell ref="B13:C13"/>
    <mergeCell ref="B14:C14"/>
    <mergeCell ref="B15:C15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Thuyết minh cách tính vật nuôi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2026-05-28T13:14:23Z</dcterms:created>
  <dcterms:modified xsi:type="dcterms:W3CDTF">2026-05-28T13:16:15Z</dcterms:modified>
</cp:coreProperties>
</file>