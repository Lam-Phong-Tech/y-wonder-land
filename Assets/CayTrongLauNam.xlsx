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n Phuong Anh\Downloads\Game 3D\"/>
    </mc:Choice>
  </mc:AlternateContent>
  <xr:revisionPtr revIDLastSave="0" documentId="8_{59E9514B-B31F-4A2E-A190-1AF944A87B28}" xr6:coauthVersionLast="47" xr6:coauthVersionMax="47" xr10:uidLastSave="{00000000-0000-0000-0000-000000000000}"/>
  <bookViews>
    <workbookView xWindow="-110" yWindow="-110" windowWidth="19420" windowHeight="11500" xr2:uid="{7853F3C6-505F-41C4-BFA5-0D0A1D102615}"/>
  </bookViews>
  <sheets>
    <sheet name="Cây trồng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0" i="1" l="1"/>
  <c r="D10" i="1"/>
  <c r="E10" i="1" s="1"/>
  <c r="L9" i="1"/>
  <c r="D9" i="1"/>
  <c r="E9" i="1" s="1"/>
  <c r="L8" i="1"/>
  <c r="D8" i="1"/>
  <c r="E8" i="1" s="1"/>
  <c r="L7" i="1"/>
  <c r="D7" i="1"/>
  <c r="E7" i="1" s="1"/>
  <c r="L6" i="1"/>
  <c r="D6" i="1"/>
  <c r="E6" i="1" s="1"/>
  <c r="L5" i="1"/>
  <c r="D5" i="1"/>
  <c r="E5" i="1" s="1"/>
  <c r="L4" i="1"/>
  <c r="D4" i="1"/>
  <c r="E4" i="1" s="1"/>
  <c r="L3" i="1"/>
  <c r="D3" i="1"/>
  <c r="E3" i="1" s="1"/>
</calcChain>
</file>

<file path=xl/sharedStrings.xml><?xml version="1.0" encoding="utf-8"?>
<sst xmlns="http://schemas.openxmlformats.org/spreadsheetml/2006/main" count="30" uniqueCount="30">
  <si>
    <t>TỶ SUẤT LỢI NHUẬN CỦA CÂY TRỒNG</t>
  </si>
  <si>
    <t>STT</t>
  </si>
  <si>
    <t>Cây Trồng</t>
  </si>
  <si>
    <t>Giá cây giống</t>
  </si>
  <si>
    <t>Tỷ giá VND</t>
  </si>
  <si>
    <t>Tỷ giá USDT</t>
  </si>
  <si>
    <t>?</t>
  </si>
  <si>
    <t>Slot trồng</t>
  </si>
  <si>
    <t>Giá phân bón</t>
  </si>
  <si>
    <t>Số lượng phân bón</t>
  </si>
  <si>
    <t>Sản Phẩm</t>
  </si>
  <si>
    <t>Số lượng thành phẩm</t>
  </si>
  <si>
    <t>Giá vốn nông sản</t>
  </si>
  <si>
    <t>EXP thu hoạch</t>
  </si>
  <si>
    <t>Giống cỏ voi</t>
  </si>
  <si>
    <t>Cỏ voi</t>
  </si>
  <si>
    <t>Hạt giống bắp ngô</t>
  </si>
  <si>
    <t>Bắp ngô</t>
  </si>
  <si>
    <t>Hạt giống bắp cải</t>
  </si>
  <si>
    <t>Bắp cải</t>
  </si>
  <si>
    <t>Hạt giống bí ngô</t>
  </si>
  <si>
    <t>Bí ngô</t>
  </si>
  <si>
    <t>Hạt giống cà rốt</t>
  </si>
  <si>
    <t>Cà rốt</t>
  </si>
  <si>
    <t>Hạt giống dưa hấu</t>
  </si>
  <si>
    <t>Dưa hấu</t>
  </si>
  <si>
    <t>Dây khoai lang giống</t>
  </si>
  <si>
    <t>Khoai lang</t>
  </si>
  <si>
    <t>Hạt giống rau muống</t>
  </si>
  <si>
    <t>Rau muống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</si>
</sst>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1"/>
      <color rgb="FF000000"/>
      <name val="Arial"/>
      <family val="2"/>
    </font>
    <font>
      <b/>
      <sz val="26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1"/>
      <color rgb="FF444746"/>
      <name val="Roboto"/>
    </font>
    <font>
      <sz val="10"/>
      <color rgb="FF444746"/>
      <name val="Roboto"/>
    </font>
  </fonts>
  <fills count="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readingOrder="1"/>
    </xf>
    <xf numFmtId="0" fontId="4" fillId="4" borderId="3" xfId="0" applyFont="1" applyFill="1" applyBorder="1" applyAlignment="1">
      <alignment horizontal="center" vertical="center" wrapText="1" readingOrder="1"/>
    </xf>
    <xf numFmtId="0" fontId="4" fillId="5" borderId="3" xfId="0" applyFont="1" applyFill="1" applyBorder="1" applyAlignment="1">
      <alignment horizontal="center" vertical="center" readingOrder="1"/>
    </xf>
    <xf numFmtId="43" fontId="5" fillId="5" borderId="3" xfId="0" applyNumberFormat="1" applyFont="1" applyFill="1" applyBorder="1" applyAlignment="1">
      <alignment horizontal="center" vertical="center" wrapText="1" readingOrder="1"/>
    </xf>
    <xf numFmtId="0" fontId="6" fillId="6" borderId="3" xfId="0" applyFont="1" applyFill="1" applyBorder="1" applyAlignment="1">
      <alignment horizontal="center" vertical="center" readingOrder="1"/>
    </xf>
    <xf numFmtId="0" fontId="6" fillId="3" borderId="3" xfId="0" applyFont="1" applyFill="1" applyBorder="1" applyAlignment="1">
      <alignment horizontal="center" vertical="center" readingOrder="1"/>
    </xf>
    <xf numFmtId="2" fontId="6" fillId="3" borderId="3" xfId="0" applyNumberFormat="1" applyFont="1" applyFill="1" applyBorder="1" applyAlignment="1">
      <alignment horizontal="center" vertical="center" readingOrder="1"/>
    </xf>
    <xf numFmtId="0" fontId="0" fillId="0" borderId="0" xfId="0" applyAlignment="1">
      <alignment horizontal="right"/>
    </xf>
    <xf numFmtId="43" fontId="7" fillId="6" borderId="3" xfId="0" applyNumberFormat="1" applyFont="1" applyFill="1" applyBorder="1" applyAlignment="1">
      <alignment vertical="center" wrapText="1" readingOrder="1"/>
    </xf>
    <xf numFmtId="0" fontId="0" fillId="0" borderId="0" xfId="0" applyAlignment="1">
      <alignment horizontal="center"/>
    </xf>
    <xf numFmtId="0" fontId="9" fillId="0" borderId="0" xfId="0" applyFont="1" applyAlignment="1">
      <alignment horizontal="right" vertical="center" wrapText="1"/>
    </xf>
    <xf numFmtId="43" fontId="8" fillId="0" borderId="0" xfId="1" applyFont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935DD-2468-4CDC-8FD6-0DFBC3529986}">
  <dimension ref="A1:M13"/>
  <sheetViews>
    <sheetView tabSelected="1" zoomScale="70" workbookViewId="0">
      <selection activeCell="I23" sqref="I23"/>
    </sheetView>
  </sheetViews>
  <sheetFormatPr defaultRowHeight="14.5" x14ac:dyDescent="0.35"/>
  <cols>
    <col min="2" max="2" width="19.7265625" customWidth="1"/>
    <col min="4" max="4" width="22.6328125" style="11" customWidth="1"/>
    <col min="5" max="5" width="14.54296875" customWidth="1"/>
  </cols>
  <sheetData>
    <row r="1" spans="1:13" ht="26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s="13" customFormat="1" ht="56" x14ac:dyDescent="0.35">
      <c r="A2" s="3" t="s">
        <v>1</v>
      </c>
      <c r="B2" s="4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4" t="s">
        <v>7</v>
      </c>
      <c r="H2" s="4" t="s">
        <v>8</v>
      </c>
      <c r="I2" s="5" t="s">
        <v>9</v>
      </c>
      <c r="J2" s="4" t="s">
        <v>10</v>
      </c>
      <c r="K2" s="5" t="s">
        <v>11</v>
      </c>
      <c r="L2" s="5" t="s">
        <v>12</v>
      </c>
      <c r="M2" s="5" t="s">
        <v>13</v>
      </c>
    </row>
    <row r="3" spans="1:13" s="13" customFormat="1" x14ac:dyDescent="0.35">
      <c r="A3" s="3">
        <v>1</v>
      </c>
      <c r="B3" s="8" t="s">
        <v>14</v>
      </c>
      <c r="C3" s="8">
        <v>65</v>
      </c>
      <c r="D3" s="12">
        <f>C3*D12*D13</f>
        <v>11570.5785</v>
      </c>
      <c r="E3" s="12">
        <f>D3/D13</f>
        <v>0.43335499999999999</v>
      </c>
      <c r="F3" s="12">
        <v>0.39</v>
      </c>
      <c r="G3" s="9">
        <v>1</v>
      </c>
      <c r="H3" s="9">
        <v>10</v>
      </c>
      <c r="I3" s="9">
        <v>1</v>
      </c>
      <c r="J3" s="9" t="s">
        <v>15</v>
      </c>
      <c r="K3" s="9">
        <v>2</v>
      </c>
      <c r="L3" s="9">
        <f>(C3+H3)/K3</f>
        <v>37.5</v>
      </c>
      <c r="M3" s="9">
        <v>175</v>
      </c>
    </row>
    <row r="4" spans="1:13" s="13" customFormat="1" x14ac:dyDescent="0.35">
      <c r="A4" s="3">
        <v>2</v>
      </c>
      <c r="B4" s="8" t="s">
        <v>16</v>
      </c>
      <c r="C4" s="8">
        <v>35</v>
      </c>
      <c r="D4" s="12">
        <f>C4*D12*D13</f>
        <v>6230.3114999999998</v>
      </c>
      <c r="E4" s="12">
        <f>D4/D13</f>
        <v>0.233345</v>
      </c>
      <c r="F4" s="12">
        <v>0.28999999999999998</v>
      </c>
      <c r="G4" s="9">
        <v>1</v>
      </c>
      <c r="H4" s="9">
        <v>10</v>
      </c>
      <c r="I4" s="9">
        <v>1</v>
      </c>
      <c r="J4" s="9" t="s">
        <v>17</v>
      </c>
      <c r="K4" s="9">
        <v>3</v>
      </c>
      <c r="L4" s="10">
        <f t="shared" ref="L4:L10" si="0">(C4+H4)/K4</f>
        <v>15</v>
      </c>
      <c r="M4" s="9">
        <v>100</v>
      </c>
    </row>
    <row r="5" spans="1:13" s="13" customFormat="1" x14ac:dyDescent="0.35">
      <c r="A5" s="3">
        <v>3</v>
      </c>
      <c r="B5" s="8" t="s">
        <v>18</v>
      </c>
      <c r="C5" s="8">
        <v>17</v>
      </c>
      <c r="D5" s="12">
        <f>C5*D12*D13</f>
        <v>3026.1513000000004</v>
      </c>
      <c r="E5" s="12">
        <f>D5/D13</f>
        <v>0.11333900000000002</v>
      </c>
      <c r="F5" s="12">
        <v>0.19</v>
      </c>
      <c r="G5" s="9">
        <v>1</v>
      </c>
      <c r="H5" s="9">
        <v>10</v>
      </c>
      <c r="I5" s="9">
        <v>1</v>
      </c>
      <c r="J5" s="9" t="s">
        <v>19</v>
      </c>
      <c r="K5" s="9">
        <v>1</v>
      </c>
      <c r="L5" s="9">
        <f t="shared" si="0"/>
        <v>27</v>
      </c>
      <c r="M5" s="9">
        <v>35</v>
      </c>
    </row>
    <row r="6" spans="1:13" s="13" customFormat="1" x14ac:dyDescent="0.35">
      <c r="A6" s="3">
        <v>4</v>
      </c>
      <c r="B6" s="8" t="s">
        <v>20</v>
      </c>
      <c r="C6" s="8">
        <v>29</v>
      </c>
      <c r="D6" s="12">
        <f>C6*D12*D13</f>
        <v>5162.2581</v>
      </c>
      <c r="E6" s="12">
        <f>D6/D13</f>
        <v>0.19334299999999999</v>
      </c>
      <c r="F6" s="12">
        <v>0.19</v>
      </c>
      <c r="G6" s="9">
        <v>1</v>
      </c>
      <c r="H6" s="9">
        <v>10</v>
      </c>
      <c r="I6" s="9">
        <v>1</v>
      </c>
      <c r="J6" s="9" t="s">
        <v>21</v>
      </c>
      <c r="K6" s="9">
        <v>11</v>
      </c>
      <c r="L6" s="9">
        <f t="shared" si="0"/>
        <v>3.5454545454545454</v>
      </c>
      <c r="M6" s="9">
        <v>125</v>
      </c>
    </row>
    <row r="7" spans="1:13" s="13" customFormat="1" x14ac:dyDescent="0.35">
      <c r="A7" s="3">
        <v>5</v>
      </c>
      <c r="B7" s="8" t="s">
        <v>22</v>
      </c>
      <c r="C7" s="8">
        <v>12</v>
      </c>
      <c r="D7" s="12">
        <f>C7*D12*D13</f>
        <v>2136.1068</v>
      </c>
      <c r="E7" s="12">
        <f>D7/D13</f>
        <v>8.0004000000000006E-2</v>
      </c>
      <c r="F7" s="12">
        <v>0.09</v>
      </c>
      <c r="G7" s="9">
        <v>1</v>
      </c>
      <c r="H7" s="9">
        <v>10</v>
      </c>
      <c r="I7" s="9">
        <v>1</v>
      </c>
      <c r="J7" s="9" t="s">
        <v>23</v>
      </c>
      <c r="K7" s="9">
        <v>1</v>
      </c>
      <c r="L7" s="9">
        <f t="shared" si="0"/>
        <v>22</v>
      </c>
      <c r="M7" s="9">
        <v>25</v>
      </c>
    </row>
    <row r="8" spans="1:13" s="13" customFormat="1" x14ac:dyDescent="0.35">
      <c r="A8" s="3">
        <v>6</v>
      </c>
      <c r="B8" s="8" t="s">
        <v>24</v>
      </c>
      <c r="C8" s="8">
        <v>17</v>
      </c>
      <c r="D8" s="12">
        <f>C8*D12*D13</f>
        <v>3026.1513000000004</v>
      </c>
      <c r="E8" s="12">
        <f>D8/D13</f>
        <v>0.11333900000000002</v>
      </c>
      <c r="F8" s="12">
        <v>0.19</v>
      </c>
      <c r="G8" s="9">
        <v>1</v>
      </c>
      <c r="H8" s="9">
        <v>10</v>
      </c>
      <c r="I8" s="9">
        <v>1</v>
      </c>
      <c r="J8" s="9" t="s">
        <v>25</v>
      </c>
      <c r="K8" s="9">
        <v>1</v>
      </c>
      <c r="L8" s="9">
        <f t="shared" si="0"/>
        <v>27</v>
      </c>
      <c r="M8" s="9">
        <v>50</v>
      </c>
    </row>
    <row r="9" spans="1:13" s="13" customFormat="1" x14ac:dyDescent="0.35">
      <c r="A9" s="3">
        <v>7</v>
      </c>
      <c r="B9" s="8" t="s">
        <v>26</v>
      </c>
      <c r="C9" s="8">
        <v>38</v>
      </c>
      <c r="D9" s="12">
        <f>C9*D12*D13</f>
        <v>6764.3382000000001</v>
      </c>
      <c r="E9" s="12">
        <f>D9/D13</f>
        <v>0.25334600000000002</v>
      </c>
      <c r="F9" s="12">
        <v>0.28999999999999998</v>
      </c>
      <c r="G9" s="9">
        <v>1</v>
      </c>
      <c r="H9" s="9">
        <v>10</v>
      </c>
      <c r="I9" s="9">
        <v>1</v>
      </c>
      <c r="J9" s="9" t="s">
        <v>27</v>
      </c>
      <c r="K9" s="9">
        <v>1</v>
      </c>
      <c r="L9" s="9">
        <f t="shared" si="0"/>
        <v>48</v>
      </c>
      <c r="M9" s="9">
        <v>100</v>
      </c>
    </row>
    <row r="10" spans="1:13" s="13" customFormat="1" x14ac:dyDescent="0.35">
      <c r="A10" s="3">
        <v>8</v>
      </c>
      <c r="B10" s="8" t="s">
        <v>28</v>
      </c>
      <c r="C10" s="8">
        <v>20</v>
      </c>
      <c r="D10" s="12">
        <f>C10*D12*D13</f>
        <v>3560.1780000000003</v>
      </c>
      <c r="E10" s="12">
        <f>D10/D13</f>
        <v>0.13334000000000001</v>
      </c>
      <c r="F10" s="12">
        <v>0.18</v>
      </c>
      <c r="G10" s="9">
        <v>1</v>
      </c>
      <c r="H10" s="9">
        <v>10</v>
      </c>
      <c r="I10" s="9">
        <v>1</v>
      </c>
      <c r="J10" s="9" t="s">
        <v>29</v>
      </c>
      <c r="K10" s="9">
        <v>1</v>
      </c>
      <c r="L10" s="9">
        <f t="shared" si="0"/>
        <v>30</v>
      </c>
      <c r="M10" s="9">
        <v>60</v>
      </c>
    </row>
    <row r="12" spans="1:13" x14ac:dyDescent="0.35">
      <c r="D12" s="14">
        <v>6.6670000000000002E-3</v>
      </c>
    </row>
    <row r="13" spans="1:13" x14ac:dyDescent="0.35">
      <c r="D13" s="15">
        <v>26700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Cây trồng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Phuong Anh</dc:creator>
  <cp:lastModifiedBy>Nguyen Phuong Anh</cp:lastModifiedBy>
  <dcterms:created xsi:type="dcterms:W3CDTF">2026-05-28T13:20:14Z</dcterms:created>
  <dcterms:modified xsi:type="dcterms:W3CDTF">2026-05-28T13:23:13Z</dcterms:modified>
</cp:coreProperties>
</file>