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 Phuong Anh\Downloads\Game 3D\"/>
    </mc:Choice>
  </mc:AlternateContent>
  <xr:revisionPtr revIDLastSave="0" documentId="8_{47DA3B75-8F51-41B5-ABA4-C66A86E5F399}" xr6:coauthVersionLast="47" xr6:coauthVersionMax="47" xr10:uidLastSave="{00000000-0000-0000-0000-000000000000}"/>
  <bookViews>
    <workbookView xWindow="-110" yWindow="-110" windowWidth="19420" windowHeight="11500" xr2:uid="{DE93413D-7593-4315-BF40-82258EB54340}"/>
  </bookViews>
  <sheets>
    <sheet name="Vật nuôi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15" i="1" l="1"/>
  <c r="AF15" i="1"/>
  <c r="AA15" i="1"/>
  <c r="AB15" i="1" s="1"/>
  <c r="W15" i="1"/>
  <c r="Y15" i="1" s="1"/>
  <c r="AC15" i="1" s="1"/>
  <c r="AK15" i="1" s="1"/>
  <c r="P15" i="1"/>
  <c r="O15" i="1"/>
  <c r="C15" i="1"/>
  <c r="AL15" i="1" s="1"/>
  <c r="AK14" i="1"/>
  <c r="AJ14" i="1"/>
  <c r="AA14" i="1"/>
  <c r="AB14" i="1" s="1"/>
  <c r="W14" i="1"/>
  <c r="Y14" i="1" s="1"/>
  <c r="P14" i="1"/>
  <c r="O14" i="1"/>
  <c r="C14" i="1"/>
  <c r="AL14" i="1" s="1"/>
  <c r="AF13" i="1"/>
  <c r="AG13" i="1" s="1"/>
  <c r="AJ13" i="1" s="1"/>
  <c r="AL13" i="1" s="1"/>
  <c r="AA13" i="1"/>
  <c r="AB13" i="1" s="1"/>
  <c r="W13" i="1"/>
  <c r="Y13" i="1" s="1"/>
  <c r="AC13" i="1" s="1"/>
  <c r="AK13" i="1" s="1"/>
  <c r="P13" i="1"/>
  <c r="O13" i="1"/>
  <c r="C13" i="1"/>
  <c r="E13" i="1" s="1"/>
  <c r="AK12" i="1"/>
  <c r="AF12" i="1"/>
  <c r="AG12" i="1" s="1"/>
  <c r="AJ12" i="1" s="1"/>
  <c r="AL12" i="1" s="1"/>
  <c r="AD12" i="1"/>
  <c r="AA12" i="1"/>
  <c r="W12" i="1"/>
  <c r="Y12" i="1" s="1"/>
  <c r="Z12" i="1" s="1"/>
  <c r="P12" i="1"/>
  <c r="O12" i="1"/>
  <c r="C12" i="1"/>
  <c r="E12" i="1" s="1"/>
  <c r="AK11" i="1"/>
  <c r="AF11" i="1"/>
  <c r="AG11" i="1" s="1"/>
  <c r="AJ11" i="1" s="1"/>
  <c r="AL11" i="1" s="1"/>
  <c r="AB11" i="1"/>
  <c r="AA11" i="1"/>
  <c r="W11" i="1"/>
  <c r="Y11" i="1" s="1"/>
  <c r="Z11" i="1" s="1"/>
  <c r="P11" i="1"/>
  <c r="O11" i="1"/>
  <c r="C11" i="1"/>
  <c r="E11" i="1" s="1"/>
  <c r="AK10" i="1"/>
  <c r="AF10" i="1"/>
  <c r="AG10" i="1" s="1"/>
  <c r="AJ10" i="1" s="1"/>
  <c r="AL10" i="1" s="1"/>
  <c r="AD10" i="1"/>
  <c r="AA10" i="1"/>
  <c r="V10" i="1"/>
  <c r="W10" i="1" s="1"/>
  <c r="Y10" i="1" s="1"/>
  <c r="Z10" i="1" s="1"/>
  <c r="P10" i="1"/>
  <c r="O10" i="1"/>
  <c r="C10" i="1"/>
  <c r="E10" i="1" s="1"/>
  <c r="AK9" i="1"/>
  <c r="AG9" i="1"/>
  <c r="AJ9" i="1" s="1"/>
  <c r="AL9" i="1" s="1"/>
  <c r="AF9" i="1"/>
  <c r="AA9" i="1"/>
  <c r="AB9" i="1" s="1"/>
  <c r="W9" i="1"/>
  <c r="Y9" i="1" s="1"/>
  <c r="Z9" i="1" s="1"/>
  <c r="P9" i="1"/>
  <c r="O9" i="1"/>
  <c r="C9" i="1"/>
  <c r="E9" i="1" s="1"/>
  <c r="AF8" i="1"/>
  <c r="AG8" i="1" s="1"/>
  <c r="AJ8" i="1" s="1"/>
  <c r="AL8" i="1" s="1"/>
  <c r="AA8" i="1"/>
  <c r="AD8" i="1" s="1"/>
  <c r="AK8" i="1" s="1"/>
  <c r="V8" i="1"/>
  <c r="W8" i="1" s="1"/>
  <c r="Y8" i="1" s="1"/>
  <c r="P8" i="1"/>
  <c r="O8" i="1"/>
  <c r="C8" i="1"/>
  <c r="E8" i="1" s="1"/>
  <c r="AK7" i="1"/>
  <c r="AG7" i="1"/>
  <c r="AJ7" i="1" s="1"/>
  <c r="AL7" i="1" s="1"/>
  <c r="AB7" i="1"/>
  <c r="AA7" i="1"/>
  <c r="Z7" i="1"/>
  <c r="W7" i="1"/>
  <c r="P7" i="1"/>
  <c r="O7" i="1"/>
  <c r="C7" i="1"/>
  <c r="E7" i="1" s="1"/>
  <c r="AJ6" i="1"/>
  <c r="AL6" i="1" s="1"/>
  <c r="AG6" i="1"/>
  <c r="AF6" i="1"/>
  <c r="AD6" i="1"/>
  <c r="AA6" i="1"/>
  <c r="Y6" i="1"/>
  <c r="AC6" i="1" s="1"/>
  <c r="AK6" i="1" s="1"/>
  <c r="P6" i="1"/>
  <c r="O6" i="1"/>
  <c r="C6" i="1"/>
  <c r="E6" i="1" s="1"/>
  <c r="AM9" i="1" l="1"/>
  <c r="AN9" i="1"/>
  <c r="AM11" i="1"/>
  <c r="AN7" i="1"/>
  <c r="AM7" i="1"/>
  <c r="AM12" i="1"/>
  <c r="AM14" i="1"/>
  <c r="AN14" i="1"/>
  <c r="AM6" i="1"/>
  <c r="AN6" i="1"/>
  <c r="AN15" i="1"/>
  <c r="AM15" i="1"/>
  <c r="AM8" i="1"/>
  <c r="AN8" i="1"/>
  <c r="AM10" i="1"/>
  <c r="AM13" i="1"/>
  <c r="AN13" i="1"/>
  <c r="E15" i="1"/>
  <c r="AN11" i="1"/>
  <c r="E14" i="1"/>
  <c r="AN10" i="1"/>
  <c r="AN12" i="1"/>
</calcChain>
</file>

<file path=xl/sharedStrings.xml><?xml version="1.0" encoding="utf-8"?>
<sst xmlns="http://schemas.openxmlformats.org/spreadsheetml/2006/main" count="126" uniqueCount="111">
  <si>
    <t>TỶ SUẤT LỢI NHUẬN CỦA VẬT NUÔI</t>
  </si>
  <si>
    <t>STT</t>
  </si>
  <si>
    <t>Thông tin vật nuôi</t>
  </si>
  <si>
    <t>Phòng/Chữa Bệnh</t>
  </si>
  <si>
    <t>Sản phẩm thu hoạch</t>
  </si>
  <si>
    <t>Tính toán thu hoạch</t>
  </si>
  <si>
    <t>Tỷ suất lợi nhuận dự kiến</t>
  </si>
  <si>
    <t>Số lần cho ăn</t>
  </si>
  <si>
    <t>Số lượng thức ăn (Loại thức ăn)</t>
  </si>
  <si>
    <t>Loại thức ăn</t>
  </si>
  <si>
    <t>Giá</t>
  </si>
  <si>
    <t>Chi phí cho ăn</t>
  </si>
  <si>
    <t>Doanh thu</t>
  </si>
  <si>
    <t>Tổng chi phí</t>
  </si>
  <si>
    <t>Tổng lợi nhuận</t>
  </si>
  <si>
    <t>Tỷ suất lợi nhuận thu hoạch tổng</t>
  </si>
  <si>
    <t xml:space="preserve">Tỷ suất lợi nhuận 1 tháng dựa trên việc thu hoạch product 1 </t>
  </si>
  <si>
    <t>Con Giống</t>
  </si>
  <si>
    <t>Định Giá</t>
  </si>
  <si>
    <t>Quy đổi ra VND</t>
  </si>
  <si>
    <t>?</t>
  </si>
  <si>
    <t>Slot trồng (Ô CHUỒNG)</t>
  </si>
  <si>
    <t>Thức ăn 1 (Chính)</t>
  </si>
  <si>
    <t>Thức ăn 2 (thay thế)</t>
  </si>
  <si>
    <t>Chu kỳ cho ăn (ngày)</t>
  </si>
  <si>
    <t>EXP thu hoạch Lần cuối</t>
  </si>
  <si>
    <t>Thời điểm phát bệnh</t>
  </si>
  <si>
    <t>Tỉ lệ phát bệnh</t>
  </si>
  <si>
    <t>Số lượng Vắc-xin cần</t>
  </si>
  <si>
    <t xml:space="preserve"> Tổng chi phí Vắc -xin</t>
  </si>
  <si>
    <t xml:space="preserve"> Tổng chi phí thuốc</t>
  </si>
  <si>
    <t>Số lượng thuốc trị bệnh cần</t>
  </si>
  <si>
    <t>Product 1</t>
  </si>
  <si>
    <t>Số lượng Pro1</t>
  </si>
  <si>
    <t>Product 2</t>
  </si>
  <si>
    <t>Số lượng Pro2</t>
  </si>
  <si>
    <t>Chu kỳ thu hoạch (ngày)</t>
  </si>
  <si>
    <t>Tổng chu kỳ thu hoạch (LẦN THU)</t>
  </si>
  <si>
    <t>Số Tháng Nuôi</t>
  </si>
  <si>
    <t>Tổng Product 1</t>
  </si>
  <si>
    <t>Giá Product 1</t>
  </si>
  <si>
    <t>Tổng Product 2 (Final harverst)</t>
  </si>
  <si>
    <t>Giá product 2</t>
  </si>
  <si>
    <t>Tổng Giá trị</t>
  </si>
  <si>
    <t>Số lần cho ăn trong chu kỳ nuôi</t>
  </si>
  <si>
    <t>Trong một chu kỳ nuôi</t>
  </si>
  <si>
    <t>Thức ăn chính</t>
  </si>
  <si>
    <t>Tính theo giá trồng được</t>
  </si>
  <si>
    <t>Tổng chi phí thức ăn trong một chu kỳ nuôi</t>
  </si>
  <si>
    <t>USDT</t>
  </si>
  <si>
    <t>( all chu kỳ)</t>
  </si>
  <si>
    <t>thu lại (Pro1)</t>
  </si>
  <si>
    <t>thu lại (Pro2)</t>
  </si>
  <si>
    <t>Bò sữa</t>
  </si>
  <si>
    <t>9 Slot</t>
  </si>
  <si>
    <t>4 Cỏ Voi</t>
  </si>
  <si>
    <t>2 Khoai Lang</t>
  </si>
  <si>
    <t>Sữa bò</t>
  </si>
  <si>
    <t>Thịt bò</t>
  </si>
  <si>
    <t>Cỏ voi</t>
  </si>
  <si>
    <t>Rùa con</t>
  </si>
  <si>
    <t>1 Slot</t>
  </si>
  <si>
    <t>7 Rau Muống</t>
  </si>
  <si>
    <t>12 Dưa hấu</t>
  </si>
  <si>
    <t>Mai rùa</t>
  </si>
  <si>
    <t>Thịt rùa</t>
  </si>
  <si>
    <t>Rau muống</t>
  </si>
  <si>
    <t>Heo con</t>
  </si>
  <si>
    <t>2 Khoai lang</t>
  </si>
  <si>
    <t>2 Bí ngô</t>
  </si>
  <si>
    <t>Da heo</t>
  </si>
  <si>
    <t>Thịt heo</t>
  </si>
  <si>
    <t>Khoai lang</t>
  </si>
  <si>
    <t>Đà điểu V2</t>
  </si>
  <si>
    <t>4 Dưa Hấu</t>
  </si>
  <si>
    <t>cám</t>
  </si>
  <si>
    <t>Trứng đà điểu V2</t>
  </si>
  <si>
    <t>Thịt đà điểu V2</t>
  </si>
  <si>
    <t>Dưa hấu</t>
  </si>
  <si>
    <t>Hươu</t>
  </si>
  <si>
    <t>5 Bắp Ngô</t>
  </si>
  <si>
    <t>CÁM</t>
  </si>
  <si>
    <t>Nhung hươu</t>
  </si>
  <si>
    <t>Thịt Huơu</t>
  </si>
  <si>
    <t>Bắp ngô</t>
  </si>
  <si>
    <t>Gà mái V2</t>
  </si>
  <si>
    <t>2 Bắp Ngô</t>
  </si>
  <si>
    <t>Trứng gà V2</t>
  </si>
  <si>
    <t>Thịt gà V2</t>
  </si>
  <si>
    <t>Dê con V2</t>
  </si>
  <si>
    <t>2 Cỏ voi</t>
  </si>
  <si>
    <t>Sữa dê V2</t>
  </si>
  <si>
    <t>Thịt dê V2</t>
  </si>
  <si>
    <t>Bí ngô</t>
  </si>
  <si>
    <t>Ngỗng con V2 (mới)</t>
  </si>
  <si>
    <t>2 Bắp Cải</t>
  </si>
  <si>
    <t>3 Bắp Ngô</t>
  </si>
  <si>
    <t>Trứng ngỗng V2</t>
  </si>
  <si>
    <t>Thịt ngỗng V2</t>
  </si>
  <si>
    <t>Bắp cải</t>
  </si>
  <si>
    <t>Thỏ con V2 (mới)</t>
  </si>
  <si>
    <t>1 Cà rốt</t>
  </si>
  <si>
    <t>1 Bắp ngô</t>
  </si>
  <si>
    <t>Lông thỏ V2</t>
  </si>
  <si>
    <t>Thịt thỏ V2</t>
  </si>
  <si>
    <t>Cà rốt</t>
  </si>
  <si>
    <t>Vịt V3 (mới)</t>
  </si>
  <si>
    <t>1 Bắp Ngô</t>
  </si>
  <si>
    <t>0.5</t>
  </si>
  <si>
    <t>Trứng vịt V3</t>
  </si>
  <si>
    <t>Thịt vịt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</si>
</sst>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</font>
    <font>
      <b/>
      <sz val="12"/>
      <color theme="1"/>
      <name val="Calibri"/>
      <family val="2"/>
      <scheme val="minor"/>
    </font>
    <font>
      <sz val="16"/>
      <color rgb="FF444746"/>
      <name val="Roboto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 readingOrder="1"/>
    </xf>
    <xf numFmtId="0" fontId="5" fillId="4" borderId="2" xfId="0" applyFont="1" applyFill="1" applyBorder="1" applyAlignment="1">
      <alignment horizontal="center" vertical="center" wrapText="1" readingOrder="1"/>
    </xf>
    <xf numFmtId="0" fontId="5" fillId="5" borderId="2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 readingOrder="1"/>
    </xf>
    <xf numFmtId="0" fontId="5" fillId="7" borderId="2" xfId="0" applyFont="1" applyFill="1" applyBorder="1" applyAlignment="1">
      <alignment horizontal="center" vertical="center" wrapText="1" readingOrder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4" borderId="3" xfId="0" applyFont="1" applyFill="1" applyBorder="1" applyAlignment="1">
      <alignment horizontal="center" vertical="center" wrapText="1" readingOrder="1"/>
    </xf>
    <xf numFmtId="0" fontId="6" fillId="4" borderId="3" xfId="0" applyFont="1" applyFill="1" applyBorder="1" applyAlignment="1">
      <alignment horizontal="center" vertical="center" wrapText="1" readingOrder="1"/>
    </xf>
    <xf numFmtId="0" fontId="5" fillId="4" borderId="2" xfId="0" applyFont="1" applyFill="1" applyBorder="1" applyAlignment="1">
      <alignment horizontal="center" vertical="center" wrapText="1" readingOrder="1"/>
    </xf>
    <xf numFmtId="0" fontId="6" fillId="6" borderId="2" xfId="0" applyFont="1" applyFill="1" applyBorder="1" applyAlignment="1">
      <alignment horizontal="center" vertical="center" wrapText="1" readingOrder="1"/>
    </xf>
    <xf numFmtId="0" fontId="7" fillId="6" borderId="2" xfId="0" applyFont="1" applyFill="1" applyBorder="1" applyAlignment="1">
      <alignment horizontal="center" vertical="center" wrapText="1" readingOrder="1"/>
    </xf>
    <xf numFmtId="0" fontId="6" fillId="7" borderId="2" xfId="0" applyFont="1" applyFill="1" applyBorder="1" applyAlignment="1">
      <alignment horizontal="center" vertical="center" wrapText="1" readingOrder="1"/>
    </xf>
    <xf numFmtId="0" fontId="6" fillId="12" borderId="3" xfId="0" applyFont="1" applyFill="1" applyBorder="1" applyAlignment="1">
      <alignment horizontal="center" vertical="center" wrapText="1" readingOrder="1"/>
    </xf>
    <xf numFmtId="0" fontId="6" fillId="7" borderId="2" xfId="0" applyFont="1" applyFill="1" applyBorder="1" applyAlignment="1">
      <alignment horizontal="center" vertical="center" wrapText="1" readingOrder="1"/>
    </xf>
    <xf numFmtId="0" fontId="6" fillId="8" borderId="2" xfId="0" applyFont="1" applyFill="1" applyBorder="1" applyAlignment="1">
      <alignment horizontal="center" vertical="center" wrapText="1" readingOrder="1"/>
    </xf>
    <xf numFmtId="0" fontId="3" fillId="9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horizontal="center" vertical="center" wrapText="1" readingOrder="1"/>
    </xf>
    <xf numFmtId="0" fontId="6" fillId="12" borderId="4" xfId="0" applyFont="1" applyFill="1" applyBorder="1" applyAlignment="1">
      <alignment horizontal="center" vertical="center" wrapText="1" readingOrder="1"/>
    </xf>
    <xf numFmtId="0" fontId="0" fillId="3" borderId="2" xfId="0" applyFill="1" applyBorder="1" applyAlignment="1">
      <alignment horizontal="center"/>
    </xf>
    <xf numFmtId="0" fontId="4" fillId="13" borderId="2" xfId="0" applyFont="1" applyFill="1" applyBorder="1" applyAlignment="1">
      <alignment horizontal="center" vertical="center" wrapText="1" readingOrder="1"/>
    </xf>
    <xf numFmtId="0" fontId="8" fillId="14" borderId="2" xfId="0" applyFont="1" applyFill="1" applyBorder="1" applyAlignment="1">
      <alignment horizontal="center" vertical="center" wrapText="1" readingOrder="1"/>
    </xf>
    <xf numFmtId="43" fontId="8" fillId="15" borderId="2" xfId="0" applyNumberFormat="1" applyFont="1" applyFill="1" applyBorder="1" applyAlignment="1">
      <alignment horizontal="center" vertical="center" wrapText="1" readingOrder="1"/>
    </xf>
    <xf numFmtId="0" fontId="8" fillId="3" borderId="2" xfId="0" applyFont="1" applyFill="1" applyBorder="1" applyAlignment="1">
      <alignment horizontal="center" vertical="center" wrapText="1" readingOrder="1"/>
    </xf>
    <xf numFmtId="9" fontId="8" fillId="16" borderId="2" xfId="0" applyNumberFormat="1" applyFont="1" applyFill="1" applyBorder="1" applyAlignment="1">
      <alignment horizontal="center" vertical="center" wrapText="1" readingOrder="1"/>
    </xf>
    <xf numFmtId="9" fontId="8" fillId="14" borderId="2" xfId="0" applyNumberFormat="1" applyFont="1" applyFill="1" applyBorder="1" applyAlignment="1">
      <alignment horizontal="center" vertical="center" wrapText="1" readingOrder="1"/>
    </xf>
    <xf numFmtId="0" fontId="8" fillId="17" borderId="2" xfId="0" applyFont="1" applyFill="1" applyBorder="1" applyAlignment="1">
      <alignment horizontal="center" vertical="center" wrapText="1" readingOrder="1"/>
    </xf>
    <xf numFmtId="164" fontId="8" fillId="17" borderId="2" xfId="0" applyNumberFormat="1" applyFont="1" applyFill="1" applyBorder="1" applyAlignment="1">
      <alignment horizontal="center" vertical="center" wrapText="1" readingOrder="1"/>
    </xf>
    <xf numFmtId="0" fontId="7" fillId="17" borderId="2" xfId="0" applyFont="1" applyFill="1" applyBorder="1" applyAlignment="1">
      <alignment horizontal="center" vertical="center" wrapText="1" readingOrder="1"/>
    </xf>
    <xf numFmtId="0" fontId="8" fillId="16" borderId="2" xfId="0" applyFont="1" applyFill="1" applyBorder="1" applyAlignment="1">
      <alignment horizontal="center" vertical="center" wrapText="1" readingOrder="1"/>
    </xf>
    <xf numFmtId="1" fontId="8" fillId="12" borderId="2" xfId="0" applyNumberFormat="1" applyFont="1" applyFill="1" applyBorder="1" applyAlignment="1">
      <alignment horizontal="center" vertical="center" wrapText="1" readingOrder="1"/>
    </xf>
    <xf numFmtId="3" fontId="8" fillId="14" borderId="2" xfId="0" applyNumberFormat="1" applyFont="1" applyFill="1" applyBorder="1" applyAlignment="1">
      <alignment horizontal="center" vertical="center" wrapText="1" readingOrder="1"/>
    </xf>
    <xf numFmtId="10" fontId="8" fillId="17" borderId="2" xfId="0" applyNumberFormat="1" applyFont="1" applyFill="1" applyBorder="1" applyAlignment="1">
      <alignment horizontal="center" vertical="center" wrapText="1" readingOrder="1"/>
    </xf>
    <xf numFmtId="0" fontId="0" fillId="16" borderId="2" xfId="0" applyFill="1" applyBorder="1" applyAlignment="1">
      <alignment horizontal="center" vertical="center" wrapText="1"/>
    </xf>
    <xf numFmtId="3" fontId="0" fillId="13" borderId="2" xfId="0" applyNumberForma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2" fontId="0" fillId="13" borderId="2" xfId="0" applyNumberFormat="1" applyFill="1" applyBorder="1" applyAlignment="1">
      <alignment horizontal="center" vertical="center"/>
    </xf>
    <xf numFmtId="2" fontId="0" fillId="10" borderId="2" xfId="0" applyNumberFormat="1" applyFill="1" applyBorder="1"/>
    <xf numFmtId="3" fontId="0" fillId="12" borderId="2" xfId="0" applyNumberFormat="1" applyFill="1" applyBorder="1" applyAlignment="1">
      <alignment horizontal="center" wrapText="1"/>
    </xf>
    <xf numFmtId="1" fontId="0" fillId="16" borderId="2" xfId="0" applyNumberFormat="1" applyFill="1" applyBorder="1" applyAlignment="1">
      <alignment horizontal="center" vertical="center" wrapText="1"/>
    </xf>
    <xf numFmtId="164" fontId="8" fillId="16" borderId="2" xfId="0" applyNumberFormat="1" applyFont="1" applyFill="1" applyBorder="1" applyAlignment="1">
      <alignment horizontal="center" vertical="center" wrapText="1" readingOrder="1"/>
    </xf>
    <xf numFmtId="0" fontId="4" fillId="13" borderId="2" xfId="0" applyFont="1" applyFill="1" applyBorder="1" applyAlignment="1">
      <alignment horizontal="center" vertical="center" readingOrder="1"/>
    </xf>
    <xf numFmtId="165" fontId="8" fillId="14" borderId="2" xfId="0" applyNumberFormat="1" applyFont="1" applyFill="1" applyBorder="1" applyAlignment="1">
      <alignment horizontal="center" vertical="center" wrapText="1" readingOrder="1"/>
    </xf>
    <xf numFmtId="0" fontId="0" fillId="16" borderId="2" xfId="0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 readingOrder="1"/>
    </xf>
    <xf numFmtId="0" fontId="9" fillId="14" borderId="2" xfId="0" applyFont="1" applyFill="1" applyBorder="1" applyAlignment="1">
      <alignment horizontal="center" vertical="center" readingOrder="1"/>
    </xf>
    <xf numFmtId="2" fontId="0" fillId="16" borderId="2" xfId="0" applyNumberFormat="1" applyFill="1" applyBorder="1" applyAlignment="1">
      <alignment horizontal="center" vertical="center"/>
    </xf>
    <xf numFmtId="0" fontId="0" fillId="12" borderId="2" xfId="0" applyFill="1" applyBorder="1" applyAlignment="1">
      <alignment horizontal="center" wrapText="1"/>
    </xf>
    <xf numFmtId="0" fontId="8" fillId="3" borderId="2" xfId="0" applyFont="1" applyFill="1" applyBorder="1" applyAlignment="1">
      <alignment horizontal="center" vertical="center" readingOrder="1"/>
    </xf>
    <xf numFmtId="0" fontId="9" fillId="3" borderId="2" xfId="0" applyFont="1" applyFill="1" applyBorder="1" applyAlignment="1">
      <alignment horizontal="center" vertical="center" readingOrder="1"/>
    </xf>
    <xf numFmtId="0" fontId="8" fillId="17" borderId="2" xfId="0" applyFont="1" applyFill="1" applyBorder="1" applyAlignment="1">
      <alignment horizontal="center" vertical="center" readingOrder="1"/>
    </xf>
    <xf numFmtId="0" fontId="9" fillId="17" borderId="2" xfId="0" applyFont="1" applyFill="1" applyBorder="1" applyAlignment="1">
      <alignment horizontal="center" vertical="center" readingOrder="1"/>
    </xf>
    <xf numFmtId="0" fontId="10" fillId="17" borderId="2" xfId="0" applyFont="1" applyFill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43" fontId="12" fillId="0" borderId="0" xfId="1" applyFont="1" applyAlignment="1">
      <alignment horizontal="center" vertical="center" wrapText="1"/>
    </xf>
    <xf numFmtId="0" fontId="8" fillId="18" borderId="0" xfId="0" applyFont="1" applyFill="1" applyAlignment="1">
      <alignment horizontal="center" vertical="center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C57D3-3792-4E9F-BE5F-B51773CC9597}">
  <dimension ref="A1:AO17"/>
  <sheetViews>
    <sheetView tabSelected="1" topLeftCell="G1" zoomScale="35" workbookViewId="0">
      <selection sqref="A1:XFD1048576"/>
    </sheetView>
  </sheetViews>
  <sheetFormatPr defaultRowHeight="15.5" x14ac:dyDescent="0.35"/>
  <cols>
    <col min="1" max="1" width="5.54296875" style="65" customWidth="1"/>
    <col min="2" max="2" width="22" style="66" customWidth="1"/>
    <col min="3" max="3" width="11.36328125" bestFit="1" customWidth="1"/>
    <col min="5" max="5" width="17.453125" customWidth="1"/>
    <col min="6" max="11" width="10.08984375" customWidth="1"/>
    <col min="18" max="18" width="21.54296875" customWidth="1"/>
    <col min="20" max="20" width="15.453125" customWidth="1"/>
    <col min="23" max="23" width="11.6328125" bestFit="1" customWidth="1"/>
    <col min="25" max="25" width="11.6328125" bestFit="1" customWidth="1"/>
    <col min="26" max="26" width="11.6328125" customWidth="1"/>
    <col min="30" max="30" width="9.1796875" bestFit="1" customWidth="1"/>
    <col min="31" max="31" width="14.36328125" customWidth="1"/>
    <col min="32" max="36" width="13.90625" style="68" customWidth="1"/>
    <col min="37" max="37" width="15.6328125" customWidth="1"/>
    <col min="38" max="38" width="15.1796875" customWidth="1"/>
    <col min="39" max="39" width="20.08984375" customWidth="1"/>
    <col min="40" max="40" width="20.26953125" customWidth="1"/>
    <col min="41" max="41" width="13.54296875" style="69" customWidth="1"/>
  </cols>
  <sheetData>
    <row r="1" spans="1:41" ht="15.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6" customHeight="1" x14ac:dyDescent="0.3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s="15" customFormat="1" ht="43.5" x14ac:dyDescent="0.35">
      <c r="A3" s="3" t="s">
        <v>1</v>
      </c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6" t="s">
        <v>3</v>
      </c>
      <c r="M3" s="7"/>
      <c r="N3" s="7"/>
      <c r="O3" s="7"/>
      <c r="P3" s="7"/>
      <c r="Q3" s="7"/>
      <c r="R3" s="8" t="s">
        <v>4</v>
      </c>
      <c r="S3" s="7"/>
      <c r="T3" s="7"/>
      <c r="U3" s="7"/>
      <c r="V3" s="7"/>
      <c r="W3" s="7"/>
      <c r="X3" s="7"/>
      <c r="Y3" s="9" t="s">
        <v>5</v>
      </c>
      <c r="Z3" s="9"/>
      <c r="AA3" s="7"/>
      <c r="AB3" s="7"/>
      <c r="AC3" s="7"/>
      <c r="AD3" s="7"/>
      <c r="AE3" s="10" t="s">
        <v>6</v>
      </c>
      <c r="AF3" s="11" t="s">
        <v>7</v>
      </c>
      <c r="AG3" s="11" t="s">
        <v>8</v>
      </c>
      <c r="AH3" s="11" t="s">
        <v>9</v>
      </c>
      <c r="AI3" s="11" t="s">
        <v>10</v>
      </c>
      <c r="AJ3" s="11" t="s">
        <v>11</v>
      </c>
      <c r="AK3" s="12" t="s">
        <v>12</v>
      </c>
      <c r="AL3" s="12" t="s">
        <v>13</v>
      </c>
      <c r="AM3" s="12" t="s">
        <v>14</v>
      </c>
      <c r="AN3" s="13" t="s">
        <v>15</v>
      </c>
      <c r="AO3" s="14" t="s">
        <v>16</v>
      </c>
    </row>
    <row r="4" spans="1:41" s="15" customFormat="1" ht="26" x14ac:dyDescent="0.35">
      <c r="A4" s="3"/>
      <c r="B4" s="16" t="s">
        <v>17</v>
      </c>
      <c r="C4" s="17" t="s">
        <v>18</v>
      </c>
      <c r="D4" s="18"/>
      <c r="E4" s="19" t="s">
        <v>19</v>
      </c>
      <c r="F4" s="19" t="s">
        <v>20</v>
      </c>
      <c r="G4" s="20" t="s">
        <v>21</v>
      </c>
      <c r="H4" s="17" t="s">
        <v>22</v>
      </c>
      <c r="I4" s="17" t="s">
        <v>23</v>
      </c>
      <c r="J4" s="17" t="s">
        <v>24</v>
      </c>
      <c r="K4" s="17" t="s">
        <v>25</v>
      </c>
      <c r="L4" s="21" t="s">
        <v>26</v>
      </c>
      <c r="M4" s="21" t="s">
        <v>27</v>
      </c>
      <c r="N4" s="21" t="s">
        <v>28</v>
      </c>
      <c r="O4" s="21" t="s">
        <v>29</v>
      </c>
      <c r="P4" s="21" t="s">
        <v>30</v>
      </c>
      <c r="Q4" s="21" t="s">
        <v>31</v>
      </c>
      <c r="R4" s="21" t="s">
        <v>32</v>
      </c>
      <c r="S4" s="21" t="s">
        <v>33</v>
      </c>
      <c r="T4" s="21" t="s">
        <v>34</v>
      </c>
      <c r="U4" s="21" t="s">
        <v>35</v>
      </c>
      <c r="V4" s="21" t="s">
        <v>36</v>
      </c>
      <c r="W4" s="21" t="s">
        <v>37</v>
      </c>
      <c r="X4" s="22" t="s">
        <v>38</v>
      </c>
      <c r="Y4" s="23" t="s">
        <v>39</v>
      </c>
      <c r="Z4" s="24" t="s">
        <v>40</v>
      </c>
      <c r="AA4" s="25" t="s">
        <v>41</v>
      </c>
      <c r="AB4" s="24" t="s">
        <v>42</v>
      </c>
      <c r="AC4" s="23" t="s">
        <v>43</v>
      </c>
      <c r="AD4" s="23" t="s">
        <v>43</v>
      </c>
      <c r="AE4" s="26" t="s">
        <v>6</v>
      </c>
      <c r="AF4" s="27" t="s">
        <v>44</v>
      </c>
      <c r="AG4" s="27" t="s">
        <v>45</v>
      </c>
      <c r="AH4" s="27" t="s">
        <v>46</v>
      </c>
      <c r="AI4" s="27" t="s">
        <v>47</v>
      </c>
      <c r="AJ4" s="27" t="s">
        <v>48</v>
      </c>
      <c r="AK4" s="12"/>
      <c r="AL4" s="12"/>
      <c r="AM4" s="12"/>
      <c r="AN4" s="13"/>
      <c r="AO4" s="14"/>
    </row>
    <row r="5" spans="1:41" s="15" customFormat="1" ht="26" x14ac:dyDescent="0.35">
      <c r="A5" s="3"/>
      <c r="B5" s="16"/>
      <c r="C5" s="17"/>
      <c r="D5" s="28" t="s">
        <v>49</v>
      </c>
      <c r="E5" s="29"/>
      <c r="F5" s="29"/>
      <c r="G5" s="20"/>
      <c r="H5" s="17"/>
      <c r="I5" s="17"/>
      <c r="J5" s="17"/>
      <c r="K5" s="17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2"/>
      <c r="Y5" s="23" t="s">
        <v>50</v>
      </c>
      <c r="Z5" s="30"/>
      <c r="AA5" s="25"/>
      <c r="AB5" s="30"/>
      <c r="AC5" s="23" t="s">
        <v>51</v>
      </c>
      <c r="AD5" s="23" t="s">
        <v>52</v>
      </c>
      <c r="AE5" s="26"/>
      <c r="AF5" s="27"/>
      <c r="AG5" s="27"/>
      <c r="AH5" s="27"/>
      <c r="AI5" s="27"/>
      <c r="AJ5" s="27"/>
      <c r="AK5" s="12"/>
      <c r="AL5" s="12"/>
      <c r="AM5" s="12"/>
      <c r="AN5" s="13"/>
      <c r="AO5" s="14"/>
    </row>
    <row r="6" spans="1:41" ht="25" x14ac:dyDescent="0.35">
      <c r="A6" s="31">
        <v>1</v>
      </c>
      <c r="B6" s="32" t="s">
        <v>53</v>
      </c>
      <c r="C6" s="33">
        <f>D6/E16</f>
        <v>44997.750112494374</v>
      </c>
      <c r="D6" s="33">
        <v>300</v>
      </c>
      <c r="E6" s="34">
        <f>C6*E16*E17</f>
        <v>8010000</v>
      </c>
      <c r="F6" s="34">
        <v>299.88</v>
      </c>
      <c r="G6" s="35" t="s">
        <v>54</v>
      </c>
      <c r="H6" s="33" t="s">
        <v>55</v>
      </c>
      <c r="I6" s="35" t="s">
        <v>56</v>
      </c>
      <c r="J6" s="35">
        <v>1</v>
      </c>
      <c r="K6" s="35">
        <v>10000</v>
      </c>
      <c r="L6" s="36">
        <v>0.3</v>
      </c>
      <c r="M6" s="37">
        <v>0.4</v>
      </c>
      <c r="N6" s="33">
        <v>4</v>
      </c>
      <c r="O6" s="33">
        <f>N6*30</f>
        <v>120</v>
      </c>
      <c r="P6" s="33">
        <f>Q6*70</f>
        <v>700</v>
      </c>
      <c r="Q6" s="33">
        <v>10</v>
      </c>
      <c r="R6" s="38" t="s">
        <v>57</v>
      </c>
      <c r="S6" s="38">
        <v>10</v>
      </c>
      <c r="T6" s="38" t="s">
        <v>58</v>
      </c>
      <c r="U6" s="38">
        <v>50</v>
      </c>
      <c r="V6" s="38">
        <v>7</v>
      </c>
      <c r="W6" s="39">
        <v>38</v>
      </c>
      <c r="X6" s="40">
        <v>9</v>
      </c>
      <c r="Y6" s="41">
        <f>38*S6</f>
        <v>380</v>
      </c>
      <c r="Z6" s="42">
        <v>305</v>
      </c>
      <c r="AA6" s="41">
        <f>U6</f>
        <v>50</v>
      </c>
      <c r="AB6" s="41">
        <v>1975</v>
      </c>
      <c r="AC6" s="43">
        <f>Y6*305</f>
        <v>115900</v>
      </c>
      <c r="AD6" s="43">
        <f>AB6*AA6</f>
        <v>98750</v>
      </c>
      <c r="AE6" s="44">
        <v>1.3142499999999999</v>
      </c>
      <c r="AF6" s="45">
        <f>X6*30/J6</f>
        <v>270</v>
      </c>
      <c r="AG6" s="45">
        <f>AF6*4</f>
        <v>1080</v>
      </c>
      <c r="AH6" s="45" t="s">
        <v>59</v>
      </c>
      <c r="AI6" s="45">
        <v>37.5</v>
      </c>
      <c r="AJ6" s="45">
        <f>AG6*AI6</f>
        <v>40500</v>
      </c>
      <c r="AK6" s="46">
        <f t="shared" ref="AK6:AK15" si="0">AC6+AD6</f>
        <v>214650</v>
      </c>
      <c r="AL6" s="47">
        <f t="shared" ref="AL6:AL15" si="1" xml:space="preserve"> M6*(C6+O6+P6+AJ6)+ (1-M6)*(AJ6+C6+O6)</f>
        <v>85897.750112494366</v>
      </c>
      <c r="AM6" s="48">
        <f>AK6-AL6</f>
        <v>128752.24988750563</v>
      </c>
      <c r="AN6" s="49">
        <f>AK6/AL6%</f>
        <v>249.89013067151083</v>
      </c>
      <c r="AO6" s="50">
        <v>15</v>
      </c>
    </row>
    <row r="7" spans="1:41" ht="25" x14ac:dyDescent="0.35">
      <c r="A7" s="31">
        <v>2</v>
      </c>
      <c r="B7" s="32" t="s">
        <v>60</v>
      </c>
      <c r="C7" s="33">
        <f>D7/E16</f>
        <v>13499.325033748311</v>
      </c>
      <c r="D7" s="33">
        <v>90</v>
      </c>
      <c r="E7" s="34">
        <f>C7*E16*E17</f>
        <v>2403000</v>
      </c>
      <c r="F7" s="34">
        <v>79.989999999999995</v>
      </c>
      <c r="G7" s="35" t="s">
        <v>61</v>
      </c>
      <c r="H7" s="33" t="s">
        <v>62</v>
      </c>
      <c r="I7" s="35" t="s">
        <v>63</v>
      </c>
      <c r="J7" s="35">
        <v>7</v>
      </c>
      <c r="K7" s="35">
        <v>20000</v>
      </c>
      <c r="L7" s="36">
        <v>0.5</v>
      </c>
      <c r="M7" s="37">
        <v>0.6</v>
      </c>
      <c r="N7" s="33">
        <v>4</v>
      </c>
      <c r="O7" s="33">
        <f>N7*30</f>
        <v>120</v>
      </c>
      <c r="P7" s="33">
        <f>Q7*70</f>
        <v>700</v>
      </c>
      <c r="Q7" s="33">
        <v>10</v>
      </c>
      <c r="R7" s="38" t="s">
        <v>64</v>
      </c>
      <c r="S7" s="38">
        <v>1</v>
      </c>
      <c r="T7" s="38" t="s">
        <v>65</v>
      </c>
      <c r="U7" s="38">
        <v>10</v>
      </c>
      <c r="V7" s="38">
        <v>300</v>
      </c>
      <c r="W7" s="39">
        <f>X7*30/V7</f>
        <v>1</v>
      </c>
      <c r="X7" s="40">
        <v>10</v>
      </c>
      <c r="Y7" s="41">
        <v>1</v>
      </c>
      <c r="Z7" s="42">
        <f>38860</f>
        <v>38860</v>
      </c>
      <c r="AA7" s="41">
        <f t="shared" ref="AA7:AA15" si="2">U7</f>
        <v>10</v>
      </c>
      <c r="AB7" s="41">
        <f>AD7/AA7</f>
        <v>3428</v>
      </c>
      <c r="AC7" s="43">
        <v>38860</v>
      </c>
      <c r="AD7" s="43">
        <v>34280</v>
      </c>
      <c r="AE7" s="44">
        <v>3.4319999999999999</v>
      </c>
      <c r="AF7" s="45">
        <v>42</v>
      </c>
      <c r="AG7" s="51">
        <f>AF7*7</f>
        <v>294</v>
      </c>
      <c r="AH7" s="45" t="s">
        <v>66</v>
      </c>
      <c r="AI7" s="45">
        <v>30</v>
      </c>
      <c r="AJ7" s="45">
        <f>AG7*AI7</f>
        <v>8820</v>
      </c>
      <c r="AK7" s="46">
        <f t="shared" si="0"/>
        <v>73140</v>
      </c>
      <c r="AL7" s="47">
        <f t="shared" si="1"/>
        <v>22859.325033748311</v>
      </c>
      <c r="AM7" s="48">
        <f t="shared" ref="AM7:AM15" si="3">AK7-AL7</f>
        <v>50280.674966251689</v>
      </c>
      <c r="AN7" s="49">
        <f t="shared" ref="AN7:AN15" si="4">AK7/AL7%</f>
        <v>319.95695363716965</v>
      </c>
      <c r="AO7" s="50">
        <v>17</v>
      </c>
    </row>
    <row r="8" spans="1:41" ht="25" x14ac:dyDescent="0.35">
      <c r="A8" s="31">
        <v>3</v>
      </c>
      <c r="B8" s="32" t="s">
        <v>67</v>
      </c>
      <c r="C8" s="33">
        <f>D8/E16</f>
        <v>14999.250037498125</v>
      </c>
      <c r="D8" s="33">
        <v>100</v>
      </c>
      <c r="E8" s="34">
        <f>C8*E16*E17</f>
        <v>2670000</v>
      </c>
      <c r="F8" s="34">
        <v>99.88</v>
      </c>
      <c r="G8" s="35" t="s">
        <v>54</v>
      </c>
      <c r="H8" s="33" t="s">
        <v>68</v>
      </c>
      <c r="I8" s="35" t="s">
        <v>69</v>
      </c>
      <c r="J8" s="35">
        <v>1</v>
      </c>
      <c r="K8" s="35">
        <v>8000</v>
      </c>
      <c r="L8" s="36">
        <v>0.5</v>
      </c>
      <c r="M8" s="37">
        <v>0.3</v>
      </c>
      <c r="N8" s="33">
        <v>4</v>
      </c>
      <c r="O8" s="33">
        <f>N8*30</f>
        <v>120</v>
      </c>
      <c r="P8" s="33">
        <f>Q8*70</f>
        <v>630</v>
      </c>
      <c r="Q8" s="33">
        <v>9</v>
      </c>
      <c r="R8" s="38" t="s">
        <v>70</v>
      </c>
      <c r="S8" s="38">
        <v>1</v>
      </c>
      <c r="T8" s="38" t="s">
        <v>71</v>
      </c>
      <c r="U8" s="38">
        <v>50</v>
      </c>
      <c r="V8" s="38">
        <f>X8*30</f>
        <v>180</v>
      </c>
      <c r="W8" s="39">
        <f t="shared" ref="W8:W15" si="5">X8*30/V8</f>
        <v>1</v>
      </c>
      <c r="X8" s="40">
        <v>6</v>
      </c>
      <c r="Y8" s="52">
        <f>W8</f>
        <v>1</v>
      </c>
      <c r="Z8" s="42">
        <v>25420</v>
      </c>
      <c r="AA8" s="41">
        <f t="shared" si="2"/>
        <v>50</v>
      </c>
      <c r="AB8" s="41">
        <v>1056</v>
      </c>
      <c r="AC8" s="43">
        <v>25420</v>
      </c>
      <c r="AD8" s="43">
        <f>AB8*AA8</f>
        <v>52800</v>
      </c>
      <c r="AE8" s="44">
        <v>1.01515</v>
      </c>
      <c r="AF8" s="45">
        <f t="shared" ref="AF8:AF13" si="6">X8*30/J8</f>
        <v>180</v>
      </c>
      <c r="AG8" s="45">
        <f>AF8*2</f>
        <v>360</v>
      </c>
      <c r="AH8" s="45" t="s">
        <v>72</v>
      </c>
      <c r="AI8" s="45">
        <v>48</v>
      </c>
      <c r="AJ8" s="45">
        <f>AG8*AI8</f>
        <v>17280</v>
      </c>
      <c r="AK8" s="46">
        <f t="shared" si="0"/>
        <v>78220</v>
      </c>
      <c r="AL8" s="47">
        <f t="shared" si="1"/>
        <v>32588.250037498125</v>
      </c>
      <c r="AM8" s="48">
        <f t="shared" si="3"/>
        <v>45631.749962501875</v>
      </c>
      <c r="AN8" s="49">
        <f t="shared" si="4"/>
        <v>240.02516216733045</v>
      </c>
      <c r="AO8" s="50">
        <v>13</v>
      </c>
    </row>
    <row r="9" spans="1:41" x14ac:dyDescent="0.35">
      <c r="A9" s="31">
        <v>4</v>
      </c>
      <c r="B9" s="53" t="s">
        <v>73</v>
      </c>
      <c r="C9" s="33">
        <f>D9/E16</f>
        <v>25498.725063746813</v>
      </c>
      <c r="D9" s="33">
        <v>170</v>
      </c>
      <c r="E9" s="34">
        <f>C9*E16*E17</f>
        <v>4539000</v>
      </c>
      <c r="F9" s="34">
        <v>139.99</v>
      </c>
      <c r="G9" s="35" t="s">
        <v>61</v>
      </c>
      <c r="H9" s="33" t="s">
        <v>74</v>
      </c>
      <c r="I9" s="35" t="s">
        <v>75</v>
      </c>
      <c r="J9" s="35">
        <v>1</v>
      </c>
      <c r="K9" s="35">
        <v>5000</v>
      </c>
      <c r="L9" s="36">
        <v>0.3</v>
      </c>
      <c r="M9" s="37">
        <v>0.4</v>
      </c>
      <c r="N9" s="33">
        <v>4</v>
      </c>
      <c r="O9" s="33">
        <f>N9*30</f>
        <v>120</v>
      </c>
      <c r="P9" s="33">
        <f>Q9*70</f>
        <v>700</v>
      </c>
      <c r="Q9" s="33">
        <v>10</v>
      </c>
      <c r="R9" s="38" t="s">
        <v>76</v>
      </c>
      <c r="S9" s="38">
        <v>1</v>
      </c>
      <c r="T9" s="38" t="s">
        <v>77</v>
      </c>
      <c r="U9" s="38">
        <v>20</v>
      </c>
      <c r="V9" s="38">
        <v>6</v>
      </c>
      <c r="W9" s="39">
        <f t="shared" si="5"/>
        <v>30</v>
      </c>
      <c r="X9" s="40">
        <v>6</v>
      </c>
      <c r="Y9" s="52">
        <f t="shared" ref="Y9:Y15" si="7">W9</f>
        <v>30</v>
      </c>
      <c r="Z9" s="42">
        <f>AC9/Y9</f>
        <v>1088</v>
      </c>
      <c r="AA9" s="41">
        <f t="shared" si="2"/>
        <v>20</v>
      </c>
      <c r="AB9" s="41">
        <f t="shared" ref="AB9:AB15" si="8">AD9/AA9</f>
        <v>2788.5</v>
      </c>
      <c r="AC9" s="54">
        <v>32640</v>
      </c>
      <c r="AD9" s="43">
        <v>55770</v>
      </c>
      <c r="AE9" s="44">
        <v>1.3628499999999999</v>
      </c>
      <c r="AF9" s="45">
        <f t="shared" si="6"/>
        <v>180</v>
      </c>
      <c r="AG9" s="55">
        <f>4*180</f>
        <v>720</v>
      </c>
      <c r="AH9" s="55" t="s">
        <v>78</v>
      </c>
      <c r="AI9" s="55">
        <v>27</v>
      </c>
      <c r="AJ9" s="45">
        <f>AG9*AI9</f>
        <v>19440</v>
      </c>
      <c r="AK9" s="46">
        <f t="shared" si="0"/>
        <v>88410</v>
      </c>
      <c r="AL9" s="47">
        <f t="shared" si="1"/>
        <v>45338.72506374681</v>
      </c>
      <c r="AM9" s="48">
        <f t="shared" si="3"/>
        <v>43071.27493625319</v>
      </c>
      <c r="AN9" s="49">
        <f t="shared" si="4"/>
        <v>194.9988665885387</v>
      </c>
      <c r="AO9" s="50">
        <v>12</v>
      </c>
    </row>
    <row r="10" spans="1:41" x14ac:dyDescent="0.35">
      <c r="A10" s="31">
        <v>5</v>
      </c>
      <c r="B10" s="53" t="s">
        <v>79</v>
      </c>
      <c r="C10" s="33">
        <f>D10/E16</f>
        <v>59997.000149992498</v>
      </c>
      <c r="D10" s="56">
        <v>400</v>
      </c>
      <c r="E10" s="34">
        <f>C10*E16*E17</f>
        <v>10680000</v>
      </c>
      <c r="F10" s="34">
        <v>2.99</v>
      </c>
      <c r="G10" s="35" t="s">
        <v>54</v>
      </c>
      <c r="H10" s="33" t="s">
        <v>80</v>
      </c>
      <c r="I10" s="35" t="s">
        <v>81</v>
      </c>
      <c r="J10" s="35">
        <v>1</v>
      </c>
      <c r="K10" s="33">
        <v>15000</v>
      </c>
      <c r="L10" s="36">
        <v>0.15</v>
      </c>
      <c r="M10" s="37">
        <v>0.6</v>
      </c>
      <c r="N10" s="33">
        <v>4</v>
      </c>
      <c r="O10" s="33">
        <f>N10*30</f>
        <v>120</v>
      </c>
      <c r="P10" s="33">
        <f t="shared" ref="P10:P15" si="9">Q10*70</f>
        <v>630</v>
      </c>
      <c r="Q10" s="33">
        <v>9</v>
      </c>
      <c r="R10" s="38" t="s">
        <v>82</v>
      </c>
      <c r="S10" s="38">
        <v>2</v>
      </c>
      <c r="T10" s="38" t="s">
        <v>83</v>
      </c>
      <c r="U10" s="38">
        <v>40</v>
      </c>
      <c r="V10" s="38">
        <f>6*30</f>
        <v>180</v>
      </c>
      <c r="W10" s="39">
        <f t="shared" si="5"/>
        <v>2</v>
      </c>
      <c r="X10" s="40">
        <v>12</v>
      </c>
      <c r="Y10" s="52">
        <f t="shared" si="7"/>
        <v>2</v>
      </c>
      <c r="Z10" s="42">
        <f>AC10/Y10</f>
        <v>99745</v>
      </c>
      <c r="AA10" s="41">
        <f t="shared" si="2"/>
        <v>40</v>
      </c>
      <c r="AB10" s="41">
        <v>3762</v>
      </c>
      <c r="AC10" s="57">
        <v>199490</v>
      </c>
      <c r="AD10" s="57">
        <f>AB10*AA10</f>
        <v>150480</v>
      </c>
      <c r="AE10" s="44">
        <v>0.48349999999999999</v>
      </c>
      <c r="AF10" s="45">
        <f t="shared" si="6"/>
        <v>360</v>
      </c>
      <c r="AG10" s="55">
        <f>AF10*5</f>
        <v>1800</v>
      </c>
      <c r="AH10" s="55" t="s">
        <v>84</v>
      </c>
      <c r="AI10" s="58">
        <v>15</v>
      </c>
      <c r="AJ10" s="45">
        <f>AG10*AI10</f>
        <v>27000</v>
      </c>
      <c r="AK10" s="46">
        <f t="shared" si="0"/>
        <v>349970</v>
      </c>
      <c r="AL10" s="47">
        <f t="shared" si="1"/>
        <v>87495.000149992498</v>
      </c>
      <c r="AM10" s="48">
        <f t="shared" si="3"/>
        <v>262474.99985000747</v>
      </c>
      <c r="AN10" s="49">
        <f t="shared" si="4"/>
        <v>399.9885700897733</v>
      </c>
      <c r="AO10" s="59">
        <v>19</v>
      </c>
    </row>
    <row r="11" spans="1:41" x14ac:dyDescent="0.35">
      <c r="A11" s="31">
        <v>6</v>
      </c>
      <c r="B11" s="53" t="s">
        <v>85</v>
      </c>
      <c r="C11" s="33">
        <f>D11/E16</f>
        <v>899.95500224988746</v>
      </c>
      <c r="D11" s="56">
        <v>6</v>
      </c>
      <c r="E11" s="34">
        <f>C11*E16*E17</f>
        <v>160200</v>
      </c>
      <c r="F11" s="34">
        <v>6.99</v>
      </c>
      <c r="G11" s="35" t="s">
        <v>61</v>
      </c>
      <c r="H11" s="33" t="s">
        <v>86</v>
      </c>
      <c r="I11" s="35" t="s">
        <v>81</v>
      </c>
      <c r="J11" s="35">
        <v>1</v>
      </c>
      <c r="K11" s="35">
        <v>3000</v>
      </c>
      <c r="L11" s="36">
        <v>0.15</v>
      </c>
      <c r="M11" s="37">
        <v>0.6</v>
      </c>
      <c r="N11" s="33">
        <v>3</v>
      </c>
      <c r="O11" s="33">
        <f t="shared" ref="O11:O15" si="10">N11*30</f>
        <v>90</v>
      </c>
      <c r="P11" s="33">
        <f t="shared" si="9"/>
        <v>210</v>
      </c>
      <c r="Q11" s="33">
        <v>3</v>
      </c>
      <c r="R11" s="38" t="s">
        <v>87</v>
      </c>
      <c r="S11" s="38">
        <v>1</v>
      </c>
      <c r="T11" s="38" t="s">
        <v>88</v>
      </c>
      <c r="U11" s="38">
        <v>5</v>
      </c>
      <c r="V11" s="38">
        <v>2</v>
      </c>
      <c r="W11" s="39">
        <f t="shared" si="5"/>
        <v>45</v>
      </c>
      <c r="X11" s="40">
        <v>3</v>
      </c>
      <c r="Y11" s="52">
        <f t="shared" si="7"/>
        <v>45</v>
      </c>
      <c r="Z11" s="42">
        <f>AC11/Y11</f>
        <v>28</v>
      </c>
      <c r="AA11" s="41">
        <f t="shared" si="2"/>
        <v>5</v>
      </c>
      <c r="AB11" s="41">
        <f t="shared" si="8"/>
        <v>816</v>
      </c>
      <c r="AC11" s="57">
        <v>1260</v>
      </c>
      <c r="AD11" s="57">
        <v>4080</v>
      </c>
      <c r="AE11" s="44">
        <v>0.79920000000000002</v>
      </c>
      <c r="AF11" s="45">
        <f t="shared" si="6"/>
        <v>90</v>
      </c>
      <c r="AG11" s="55">
        <f>AF11*2</f>
        <v>180</v>
      </c>
      <c r="AH11" s="55" t="s">
        <v>84</v>
      </c>
      <c r="AI11" s="58">
        <v>15</v>
      </c>
      <c r="AJ11" s="45">
        <f t="shared" ref="AJ11:AJ15" si="11">AG11*AI11</f>
        <v>2700</v>
      </c>
      <c r="AK11" s="46">
        <f t="shared" si="0"/>
        <v>5340</v>
      </c>
      <c r="AL11" s="47">
        <f t="shared" si="1"/>
        <v>3815.9550022498875</v>
      </c>
      <c r="AM11" s="48">
        <f t="shared" si="3"/>
        <v>1524.0449977501125</v>
      </c>
      <c r="AN11" s="49">
        <f t="shared" si="4"/>
        <v>139.93875705692375</v>
      </c>
      <c r="AO11" s="50">
        <v>11</v>
      </c>
    </row>
    <row r="12" spans="1:41" x14ac:dyDescent="0.35">
      <c r="A12" s="31">
        <v>7</v>
      </c>
      <c r="B12" s="53" t="s">
        <v>89</v>
      </c>
      <c r="C12" s="33">
        <f>D12/E16</f>
        <v>7499.6250187490623</v>
      </c>
      <c r="D12" s="56">
        <v>50</v>
      </c>
      <c r="E12" s="34">
        <f>C12*E16*E17</f>
        <v>1335000</v>
      </c>
      <c r="F12" s="34">
        <v>49.88</v>
      </c>
      <c r="G12" s="60" t="s">
        <v>54</v>
      </c>
      <c r="H12" s="33" t="s">
        <v>69</v>
      </c>
      <c r="I12" s="35" t="s">
        <v>90</v>
      </c>
      <c r="J12" s="35">
        <v>1</v>
      </c>
      <c r="K12" s="35">
        <v>8000</v>
      </c>
      <c r="L12" s="36">
        <v>0.3</v>
      </c>
      <c r="M12" s="37">
        <v>0.3</v>
      </c>
      <c r="N12" s="33">
        <v>4</v>
      </c>
      <c r="O12" s="33">
        <f t="shared" si="10"/>
        <v>120</v>
      </c>
      <c r="P12" s="33">
        <f t="shared" si="9"/>
        <v>700</v>
      </c>
      <c r="Q12" s="33">
        <v>10</v>
      </c>
      <c r="R12" s="38" t="s">
        <v>91</v>
      </c>
      <c r="S12" s="38">
        <v>2</v>
      </c>
      <c r="T12" s="38" t="s">
        <v>92</v>
      </c>
      <c r="U12" s="38">
        <v>20</v>
      </c>
      <c r="V12" s="38">
        <v>3</v>
      </c>
      <c r="W12" s="39">
        <f t="shared" si="5"/>
        <v>60</v>
      </c>
      <c r="X12" s="40">
        <v>6</v>
      </c>
      <c r="Y12" s="52">
        <f t="shared" si="7"/>
        <v>60</v>
      </c>
      <c r="Z12" s="42">
        <f>AC12/Y12</f>
        <v>100</v>
      </c>
      <c r="AA12" s="41">
        <f t="shared" si="2"/>
        <v>20</v>
      </c>
      <c r="AB12" s="41">
        <v>495</v>
      </c>
      <c r="AC12" s="57">
        <v>6000</v>
      </c>
      <c r="AD12" s="57">
        <f>AB12*AA12</f>
        <v>9900</v>
      </c>
      <c r="AE12" s="44">
        <v>0.99935000000000007</v>
      </c>
      <c r="AF12" s="45">
        <f t="shared" si="6"/>
        <v>180</v>
      </c>
      <c r="AG12" s="55">
        <f xml:space="preserve"> AF12*2</f>
        <v>360</v>
      </c>
      <c r="AH12" s="55" t="s">
        <v>93</v>
      </c>
      <c r="AI12" s="55">
        <v>3.5</v>
      </c>
      <c r="AJ12" s="45">
        <f t="shared" si="11"/>
        <v>1260</v>
      </c>
      <c r="AK12" s="46">
        <f t="shared" si="0"/>
        <v>15900</v>
      </c>
      <c r="AL12" s="47">
        <f t="shared" si="1"/>
        <v>9089.6250187490623</v>
      </c>
      <c r="AM12" s="48">
        <f t="shared" si="3"/>
        <v>6810.3749812509377</v>
      </c>
      <c r="AN12" s="49">
        <f t="shared" si="4"/>
        <v>174.92470775420611</v>
      </c>
      <c r="AO12" s="59">
        <v>11</v>
      </c>
    </row>
    <row r="13" spans="1:41" x14ac:dyDescent="0.35">
      <c r="A13" s="31">
        <v>8</v>
      </c>
      <c r="B13" s="53" t="s">
        <v>94</v>
      </c>
      <c r="C13" s="33">
        <f>D13/E16</f>
        <v>1499.9250037498125</v>
      </c>
      <c r="D13" s="57">
        <v>10</v>
      </c>
      <c r="E13" s="34">
        <f>C13*E16*E17</f>
        <v>267000</v>
      </c>
      <c r="F13" s="34">
        <v>11.99</v>
      </c>
      <c r="G13" s="35" t="s">
        <v>61</v>
      </c>
      <c r="H13" s="33" t="s">
        <v>95</v>
      </c>
      <c r="I13" s="35" t="s">
        <v>96</v>
      </c>
      <c r="J13" s="35">
        <v>1</v>
      </c>
      <c r="K13" s="61">
        <v>4500</v>
      </c>
      <c r="L13" s="36">
        <v>0.15</v>
      </c>
      <c r="M13" s="37">
        <v>0.4</v>
      </c>
      <c r="N13" s="33">
        <v>4</v>
      </c>
      <c r="O13" s="33">
        <f t="shared" si="10"/>
        <v>120</v>
      </c>
      <c r="P13" s="33">
        <f t="shared" si="9"/>
        <v>140</v>
      </c>
      <c r="Q13" s="33">
        <v>2</v>
      </c>
      <c r="R13" s="62" t="s">
        <v>97</v>
      </c>
      <c r="S13" s="62">
        <v>2</v>
      </c>
      <c r="T13" s="62" t="s">
        <v>98</v>
      </c>
      <c r="U13" s="62">
        <v>5</v>
      </c>
      <c r="V13" s="63">
        <v>3</v>
      </c>
      <c r="W13" s="39">
        <f t="shared" si="5"/>
        <v>30</v>
      </c>
      <c r="X13" s="64">
        <v>3</v>
      </c>
      <c r="Y13" s="52">
        <f t="shared" si="7"/>
        <v>30</v>
      </c>
      <c r="Z13" s="42">
        <v>65</v>
      </c>
      <c r="AA13" s="41">
        <f t="shared" si="2"/>
        <v>5</v>
      </c>
      <c r="AB13" s="41">
        <f t="shared" si="8"/>
        <v>1569</v>
      </c>
      <c r="AC13" s="57">
        <f>Z13*Y13</f>
        <v>1950</v>
      </c>
      <c r="AD13" s="57">
        <v>7845</v>
      </c>
      <c r="AE13" s="44">
        <v>1.0088999999999999</v>
      </c>
      <c r="AF13" s="45">
        <f t="shared" si="6"/>
        <v>90</v>
      </c>
      <c r="AG13" s="55">
        <f>AF13*2</f>
        <v>180</v>
      </c>
      <c r="AH13" s="55" t="s">
        <v>99</v>
      </c>
      <c r="AI13" s="55">
        <v>27</v>
      </c>
      <c r="AJ13" s="45">
        <f t="shared" si="11"/>
        <v>4860</v>
      </c>
      <c r="AK13" s="46">
        <f t="shared" si="0"/>
        <v>9795</v>
      </c>
      <c r="AL13" s="47">
        <f t="shared" si="1"/>
        <v>6535.9250037498123</v>
      </c>
      <c r="AM13" s="48">
        <f t="shared" si="3"/>
        <v>3259.0749962501877</v>
      </c>
      <c r="AN13" s="49">
        <f t="shared" si="4"/>
        <v>149.8640206914917</v>
      </c>
      <c r="AO13" s="59">
        <v>10</v>
      </c>
    </row>
    <row r="14" spans="1:41" x14ac:dyDescent="0.35">
      <c r="A14" s="31">
        <v>9</v>
      </c>
      <c r="B14" s="53" t="s">
        <v>100</v>
      </c>
      <c r="C14" s="33">
        <f>D14/E16</f>
        <v>749.96250187490625</v>
      </c>
      <c r="D14" s="57">
        <v>5</v>
      </c>
      <c r="E14" s="34">
        <f>C14*E16*E17</f>
        <v>133500</v>
      </c>
      <c r="F14" s="34">
        <v>4.99</v>
      </c>
      <c r="G14" s="35" t="s">
        <v>61</v>
      </c>
      <c r="H14" s="35" t="s">
        <v>101</v>
      </c>
      <c r="I14" s="35" t="s">
        <v>102</v>
      </c>
      <c r="J14" s="35">
        <v>1</v>
      </c>
      <c r="K14" s="61">
        <v>1500</v>
      </c>
      <c r="L14" s="36">
        <v>0.4</v>
      </c>
      <c r="M14" s="37">
        <v>0.5</v>
      </c>
      <c r="N14" s="33">
        <v>2</v>
      </c>
      <c r="O14" s="33">
        <f t="shared" si="10"/>
        <v>60</v>
      </c>
      <c r="P14" s="33">
        <f t="shared" si="9"/>
        <v>140</v>
      </c>
      <c r="Q14" s="33">
        <v>2</v>
      </c>
      <c r="R14" s="62" t="s">
        <v>103</v>
      </c>
      <c r="S14" s="62">
        <v>8</v>
      </c>
      <c r="T14" s="62" t="s">
        <v>104</v>
      </c>
      <c r="U14" s="62">
        <v>5</v>
      </c>
      <c r="V14" s="63">
        <v>40</v>
      </c>
      <c r="W14" s="39">
        <f t="shared" si="5"/>
        <v>2.0024999999999999</v>
      </c>
      <c r="X14" s="64">
        <v>2.67</v>
      </c>
      <c r="Y14" s="52">
        <f t="shared" si="7"/>
        <v>2.0024999999999999</v>
      </c>
      <c r="Z14" s="42">
        <v>345</v>
      </c>
      <c r="AA14" s="41">
        <f t="shared" si="2"/>
        <v>5</v>
      </c>
      <c r="AB14" s="41">
        <f t="shared" si="8"/>
        <v>577</v>
      </c>
      <c r="AC14" s="57">
        <v>690</v>
      </c>
      <c r="AD14" s="57">
        <v>2885</v>
      </c>
      <c r="AE14" s="44">
        <v>0.55000000000000004</v>
      </c>
      <c r="AF14" s="45">
        <v>80</v>
      </c>
      <c r="AG14" s="55">
        <v>90</v>
      </c>
      <c r="AH14" s="55" t="s">
        <v>105</v>
      </c>
      <c r="AI14" s="55">
        <v>22</v>
      </c>
      <c r="AJ14" s="45">
        <f t="shared" si="11"/>
        <v>1980</v>
      </c>
      <c r="AK14" s="46">
        <f t="shared" si="0"/>
        <v>3575</v>
      </c>
      <c r="AL14" s="47">
        <f t="shared" si="1"/>
        <v>2859.9625018749061</v>
      </c>
      <c r="AM14" s="48">
        <f t="shared" si="3"/>
        <v>715.03749812509386</v>
      </c>
      <c r="AN14" s="49">
        <f t="shared" si="4"/>
        <v>125.00163892555712</v>
      </c>
      <c r="AO14" s="59">
        <v>9</v>
      </c>
    </row>
    <row r="15" spans="1:41" x14ac:dyDescent="0.35">
      <c r="A15" s="31">
        <v>10</v>
      </c>
      <c r="B15" s="53" t="s">
        <v>106</v>
      </c>
      <c r="C15" s="33">
        <f>D15/E16</f>
        <v>1199.9400029998499</v>
      </c>
      <c r="D15" s="57">
        <v>8</v>
      </c>
      <c r="E15" s="34">
        <f>C15*E16*E17</f>
        <v>213599.99999999997</v>
      </c>
      <c r="F15" s="34">
        <v>6.99</v>
      </c>
      <c r="G15" s="35" t="s">
        <v>61</v>
      </c>
      <c r="H15" s="35" t="s">
        <v>107</v>
      </c>
      <c r="I15" s="35" t="s">
        <v>81</v>
      </c>
      <c r="J15" s="35" t="s">
        <v>108</v>
      </c>
      <c r="K15" s="61">
        <v>1000</v>
      </c>
      <c r="L15" s="36">
        <v>0.15</v>
      </c>
      <c r="M15" s="37">
        <v>0.6</v>
      </c>
      <c r="N15" s="33">
        <v>2</v>
      </c>
      <c r="O15" s="33">
        <f t="shared" si="10"/>
        <v>60</v>
      </c>
      <c r="P15" s="33">
        <f t="shared" si="9"/>
        <v>140</v>
      </c>
      <c r="Q15" s="33">
        <v>2</v>
      </c>
      <c r="R15" s="62" t="s">
        <v>109</v>
      </c>
      <c r="S15" s="62">
        <v>1</v>
      </c>
      <c r="T15" s="62" t="s">
        <v>110</v>
      </c>
      <c r="U15" s="62">
        <v>5</v>
      </c>
      <c r="V15" s="63">
        <v>1</v>
      </c>
      <c r="W15" s="39">
        <f t="shared" si="5"/>
        <v>45</v>
      </c>
      <c r="X15" s="64">
        <v>1.5</v>
      </c>
      <c r="Y15" s="52">
        <f t="shared" si="7"/>
        <v>45</v>
      </c>
      <c r="Z15" s="42">
        <v>12</v>
      </c>
      <c r="AA15" s="41">
        <f t="shared" si="2"/>
        <v>5</v>
      </c>
      <c r="AB15" s="41">
        <f t="shared" si="8"/>
        <v>942</v>
      </c>
      <c r="AC15" s="57">
        <f>Y15*Z15</f>
        <v>540</v>
      </c>
      <c r="AD15" s="57">
        <v>4710</v>
      </c>
      <c r="AE15" s="44">
        <v>0.59819999999999995</v>
      </c>
      <c r="AF15" s="45">
        <f>X15*30/J15</f>
        <v>90</v>
      </c>
      <c r="AG15" s="55">
        <v>180</v>
      </c>
      <c r="AH15" s="55" t="s">
        <v>84</v>
      </c>
      <c r="AI15" s="55">
        <v>15</v>
      </c>
      <c r="AJ15" s="45">
        <f t="shared" si="11"/>
        <v>2700</v>
      </c>
      <c r="AK15" s="46">
        <f t="shared" si="0"/>
        <v>5250</v>
      </c>
      <c r="AL15" s="47">
        <f t="shared" si="1"/>
        <v>4043.9400029998496</v>
      </c>
      <c r="AM15" s="48">
        <f t="shared" si="3"/>
        <v>1206.0599970001504</v>
      </c>
      <c r="AN15" s="49">
        <f t="shared" si="4"/>
        <v>129.82388453106324</v>
      </c>
      <c r="AO15" s="59">
        <v>9</v>
      </c>
    </row>
    <row r="16" spans="1:41" ht="20.5" x14ac:dyDescent="0.35">
      <c r="E16" s="67">
        <v>6.6670000000000002E-3</v>
      </c>
      <c r="G16" s="65">
        <v>15</v>
      </c>
    </row>
    <row r="17" spans="5:28" ht="20.5" x14ac:dyDescent="0.35">
      <c r="E17" s="70">
        <v>26700</v>
      </c>
      <c r="AB17" s="71"/>
    </row>
  </sheetData>
  <mergeCells count="41">
    <mergeCell ref="AJ4:AJ5"/>
    <mergeCell ref="AB4:AB5"/>
    <mergeCell ref="AE4:AE5"/>
    <mergeCell ref="AF4:AF5"/>
    <mergeCell ref="AG4:AG5"/>
    <mergeCell ref="AH4:AH5"/>
    <mergeCell ref="AI4:AI5"/>
    <mergeCell ref="U4:U5"/>
    <mergeCell ref="V4:V5"/>
    <mergeCell ref="W4:W5"/>
    <mergeCell ref="X4:X5"/>
    <mergeCell ref="Z4:Z5"/>
    <mergeCell ref="AA4:AA5"/>
    <mergeCell ref="O4:O5"/>
    <mergeCell ref="P4:P5"/>
    <mergeCell ref="Q4:Q5"/>
    <mergeCell ref="R4:R5"/>
    <mergeCell ref="S4:S5"/>
    <mergeCell ref="T4:T5"/>
    <mergeCell ref="I4:I5"/>
    <mergeCell ref="J4:J5"/>
    <mergeCell ref="K4:K5"/>
    <mergeCell ref="L4:L5"/>
    <mergeCell ref="M4:M5"/>
    <mergeCell ref="N4:N5"/>
    <mergeCell ref="B4:B5"/>
    <mergeCell ref="C4:C5"/>
    <mergeCell ref="E4:E5"/>
    <mergeCell ref="F4:F5"/>
    <mergeCell ref="G4:G5"/>
    <mergeCell ref="H4:H5"/>
    <mergeCell ref="A1:AO2"/>
    <mergeCell ref="A3:A5"/>
    <mergeCell ref="L3:Q3"/>
    <mergeCell ref="R3:X3"/>
    <mergeCell ref="Y3:AD3"/>
    <mergeCell ref="AK3:AK5"/>
    <mergeCell ref="AL3:AL5"/>
    <mergeCell ref="AM3:AM5"/>
    <mergeCell ref="AN3:AN5"/>
    <mergeCell ref="AO3:A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Vật nuôi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Phuong Anh</dc:creator>
  <cp:lastModifiedBy>Nguyen Phuong Anh</cp:lastModifiedBy>
  <dcterms:created xsi:type="dcterms:W3CDTF">2026-05-28T13:18:36Z</dcterms:created>
  <dcterms:modified xsi:type="dcterms:W3CDTF">2026-05-28T13:19:06Z</dcterms:modified>
</cp:coreProperties>
</file>