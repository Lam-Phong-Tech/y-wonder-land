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13_ncr:1_{6DD72421-00C4-4517-9BED-01483C25CF6C}" xr6:coauthVersionLast="47" xr6:coauthVersionMax="47" xr10:uidLastSave="{00000000-0000-0000-0000-000000000000}"/>
  <bookViews>
    <workbookView xWindow="-110" yWindow="-110" windowWidth="19420" windowHeight="11500" xr2:uid="{DE93413D-7593-4315-BF40-82258EB54340}"/>
  </bookViews>
  <sheets>
    <sheet name="Vật nuôi" sheetId="1" r:id="rId1"/>
    <sheet name="Thuyết minh cách tính 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D3" i="2"/>
  <c r="D1032222" i="2"/>
  <c r="D1032223" i="2" s="1"/>
  <c r="D1032226" i="2" s="1"/>
  <c r="D1032220" i="2"/>
  <c r="D1032215" i="2"/>
  <c r="D1032219" i="2" s="1"/>
  <c r="D1032214" i="2"/>
  <c r="D1032212" i="2"/>
  <c r="D1032205" i="2"/>
  <c r="D1032204" i="2"/>
  <c r="D1032193" i="2"/>
  <c r="D1032228" i="2" s="1"/>
  <c r="D1015838" i="2"/>
  <c r="D1015839" i="2" s="1"/>
  <c r="D1015842" i="2" s="1"/>
  <c r="D1015836" i="2"/>
  <c r="D1015831" i="2"/>
  <c r="D1015835" i="2" s="1"/>
  <c r="D1015843" i="2" s="1"/>
  <c r="D1015830" i="2"/>
  <c r="D1015828" i="2"/>
  <c r="D1015821" i="2"/>
  <c r="D1015820" i="2"/>
  <c r="D1015809" i="2"/>
  <c r="D999454" i="2"/>
  <c r="D999455" i="2" s="1"/>
  <c r="D999458" i="2" s="1"/>
  <c r="D999452" i="2"/>
  <c r="D999447" i="2"/>
  <c r="D999451" i="2" s="1"/>
  <c r="D999446" i="2"/>
  <c r="D999444" i="2"/>
  <c r="D999437" i="2"/>
  <c r="D999436" i="2"/>
  <c r="D999425" i="2"/>
  <c r="D999460" i="2" s="1"/>
  <c r="D983070" i="2"/>
  <c r="D983071" i="2" s="1"/>
  <c r="D983074" i="2" s="1"/>
  <c r="D983068" i="2"/>
  <c r="D983063" i="2"/>
  <c r="D983067" i="2" s="1"/>
  <c r="D983075" i="2" s="1"/>
  <c r="D983062" i="2"/>
  <c r="D983060" i="2"/>
  <c r="D983053" i="2"/>
  <c r="D983052" i="2"/>
  <c r="D983041" i="2"/>
  <c r="D966686" i="2"/>
  <c r="D966687" i="2" s="1"/>
  <c r="D966690" i="2" s="1"/>
  <c r="D966684" i="2"/>
  <c r="D966679" i="2"/>
  <c r="D966683" i="2" s="1"/>
  <c r="D966691" i="2" s="1"/>
  <c r="D966678" i="2"/>
  <c r="D966676" i="2"/>
  <c r="D966669" i="2"/>
  <c r="D966668" i="2"/>
  <c r="D966657" i="2"/>
  <c r="D950302" i="2"/>
  <c r="D950303" i="2" s="1"/>
  <c r="D950306" i="2" s="1"/>
  <c r="D950300" i="2"/>
  <c r="D950295" i="2"/>
  <c r="D950299" i="2" s="1"/>
  <c r="D950307" i="2" s="1"/>
  <c r="D950294" i="2"/>
  <c r="D950292" i="2"/>
  <c r="D950285" i="2"/>
  <c r="D950284" i="2"/>
  <c r="D950308" i="2" s="1"/>
  <c r="D950273" i="2"/>
  <c r="D933918" i="2"/>
  <c r="D933919" i="2" s="1"/>
  <c r="D933922" i="2" s="1"/>
  <c r="D933916" i="2"/>
  <c r="D933911" i="2"/>
  <c r="D933915" i="2" s="1"/>
  <c r="D933923" i="2" s="1"/>
  <c r="D933910" i="2"/>
  <c r="D933908" i="2"/>
  <c r="D933901" i="2"/>
  <c r="D933900" i="2"/>
  <c r="D933889" i="2"/>
  <c r="D917534" i="2"/>
  <c r="D917535" i="2" s="1"/>
  <c r="D917538" i="2" s="1"/>
  <c r="D917532" i="2"/>
  <c r="D917527" i="2"/>
  <c r="D917531" i="2" s="1"/>
  <c r="D917539" i="2" s="1"/>
  <c r="D917526" i="2"/>
  <c r="D917524" i="2" s="1"/>
  <c r="D917517" i="2"/>
  <c r="D917516" i="2"/>
  <c r="D917505" i="2"/>
  <c r="D901150" i="2"/>
  <c r="D901151" i="2" s="1"/>
  <c r="D901154" i="2" s="1"/>
  <c r="D901148" i="2"/>
  <c r="D901143" i="2"/>
  <c r="D901147" i="2" s="1"/>
  <c r="D901155" i="2" s="1"/>
  <c r="D901142" i="2"/>
  <c r="D901140" i="2" s="1"/>
  <c r="D901133" i="2"/>
  <c r="D901132" i="2"/>
  <c r="D901121" i="2"/>
  <c r="D884766" i="2"/>
  <c r="D884767" i="2" s="1"/>
  <c r="D884770" i="2" s="1"/>
  <c r="D884764" i="2"/>
  <c r="D884759" i="2"/>
  <c r="D884763" i="2" s="1"/>
  <c r="D884771" i="2" s="1"/>
  <c r="D884758" i="2"/>
  <c r="D884756" i="2" s="1"/>
  <c r="D884749" i="2"/>
  <c r="D884748" i="2"/>
  <c r="D884737" i="2"/>
  <c r="D868382" i="2"/>
  <c r="D868383" i="2" s="1"/>
  <c r="D868386" i="2" s="1"/>
  <c r="D868380" i="2"/>
  <c r="D868375" i="2"/>
  <c r="D868379" i="2" s="1"/>
  <c r="D868387" i="2" s="1"/>
  <c r="D868374" i="2"/>
  <c r="D868372" i="2"/>
  <c r="D868365" i="2"/>
  <c r="D868364" i="2"/>
  <c r="D868353" i="2"/>
  <c r="D851998" i="2"/>
  <c r="D851999" i="2" s="1"/>
  <c r="D852002" i="2" s="1"/>
  <c r="D851996" i="2"/>
  <c r="D851991" i="2"/>
  <c r="D851995" i="2" s="1"/>
  <c r="D852003" i="2" s="1"/>
  <c r="D851990" i="2"/>
  <c r="D851988" i="2" s="1"/>
  <c r="D851981" i="2"/>
  <c r="D851980" i="2"/>
  <c r="D851969" i="2"/>
  <c r="D835614" i="2"/>
  <c r="D835615" i="2" s="1"/>
  <c r="D835618" i="2" s="1"/>
  <c r="D835612" i="2"/>
  <c r="D835607" i="2"/>
  <c r="D835611" i="2" s="1"/>
  <c r="D835606" i="2"/>
  <c r="D835604" i="2"/>
  <c r="D835597" i="2"/>
  <c r="D835596" i="2"/>
  <c r="D835585" i="2"/>
  <c r="D819230" i="2"/>
  <c r="D819231" i="2" s="1"/>
  <c r="D819234" i="2" s="1"/>
  <c r="D819228" i="2"/>
  <c r="D819223" i="2"/>
  <c r="D819227" i="2" s="1"/>
  <c r="D819235" i="2" s="1"/>
  <c r="D819222" i="2"/>
  <c r="D819220" i="2"/>
  <c r="D819213" i="2"/>
  <c r="D819212" i="2"/>
  <c r="D819201" i="2"/>
  <c r="D802846" i="2"/>
  <c r="D802847" i="2" s="1"/>
  <c r="D802850" i="2" s="1"/>
  <c r="D802844" i="2"/>
  <c r="D802839" i="2"/>
  <c r="D802843" i="2" s="1"/>
  <c r="D802838" i="2"/>
  <c r="D802836" i="2"/>
  <c r="D802829" i="2"/>
  <c r="D802828" i="2"/>
  <c r="D802817" i="2"/>
  <c r="D786462" i="2"/>
  <c r="D786463" i="2" s="1"/>
  <c r="D786466" i="2" s="1"/>
  <c r="D786460" i="2"/>
  <c r="D786455" i="2"/>
  <c r="D786459" i="2" s="1"/>
  <c r="D786467" i="2" s="1"/>
  <c r="D786454" i="2"/>
  <c r="D786452" i="2"/>
  <c r="D786445" i="2"/>
  <c r="D786444" i="2"/>
  <c r="D786433" i="2"/>
  <c r="D770078" i="2"/>
  <c r="D770079" i="2" s="1"/>
  <c r="D770082" i="2" s="1"/>
  <c r="D770076" i="2"/>
  <c r="D770071" i="2"/>
  <c r="D770075" i="2" s="1"/>
  <c r="D770070" i="2"/>
  <c r="D770068" i="2"/>
  <c r="D770061" i="2"/>
  <c r="D770060" i="2"/>
  <c r="D770049" i="2"/>
  <c r="D753694" i="2"/>
  <c r="D753695" i="2" s="1"/>
  <c r="D753698" i="2" s="1"/>
  <c r="D753692" i="2"/>
  <c r="D753687" i="2"/>
  <c r="D753691" i="2" s="1"/>
  <c r="D753699" i="2" s="1"/>
  <c r="D753686" i="2"/>
  <c r="D753684" i="2"/>
  <c r="D753677" i="2"/>
  <c r="D753676" i="2"/>
  <c r="D753665" i="2"/>
  <c r="D737310" i="2"/>
  <c r="D737311" i="2" s="1"/>
  <c r="D737314" i="2" s="1"/>
  <c r="D737308" i="2"/>
  <c r="D737303" i="2"/>
  <c r="D737307" i="2" s="1"/>
  <c r="D737302" i="2"/>
  <c r="D737300" i="2" s="1"/>
  <c r="D737293" i="2"/>
  <c r="D737292" i="2"/>
  <c r="D737281" i="2"/>
  <c r="D720926" i="2"/>
  <c r="D720927" i="2" s="1"/>
  <c r="D720930" i="2" s="1"/>
  <c r="D720924" i="2"/>
  <c r="D720919" i="2"/>
  <c r="D720923" i="2" s="1"/>
  <c r="D720931" i="2" s="1"/>
  <c r="D720918" i="2"/>
  <c r="D720916" i="2"/>
  <c r="D720909" i="2"/>
  <c r="D720908" i="2"/>
  <c r="D720897" i="2"/>
  <c r="D704542" i="2"/>
  <c r="D704543" i="2" s="1"/>
  <c r="D704546" i="2" s="1"/>
  <c r="D704540" i="2"/>
  <c r="D704535" i="2"/>
  <c r="D704539" i="2" s="1"/>
  <c r="D704547" i="2" s="1"/>
  <c r="D704534" i="2"/>
  <c r="D704532" i="2" s="1"/>
  <c r="D704525" i="2"/>
  <c r="D704524" i="2"/>
  <c r="D704513" i="2"/>
  <c r="D688158" i="2"/>
  <c r="D688159" i="2" s="1"/>
  <c r="D688162" i="2" s="1"/>
  <c r="D688156" i="2"/>
  <c r="D688151" i="2"/>
  <c r="D688155" i="2" s="1"/>
  <c r="D688163" i="2" s="1"/>
  <c r="D688150" i="2"/>
  <c r="D688148" i="2"/>
  <c r="D688141" i="2"/>
  <c r="D688140" i="2"/>
  <c r="D688129" i="2"/>
  <c r="D671774" i="2"/>
  <c r="D671775" i="2" s="1"/>
  <c r="D671778" i="2" s="1"/>
  <c r="D671780" i="2" s="1"/>
  <c r="D671772" i="2"/>
  <c r="D671767" i="2"/>
  <c r="D671771" i="2" s="1"/>
  <c r="D671779" i="2" s="1"/>
  <c r="D671766" i="2"/>
  <c r="D671764" i="2" s="1"/>
  <c r="D671757" i="2"/>
  <c r="D671756" i="2"/>
  <c r="D671745" i="2"/>
  <c r="D655390" i="2"/>
  <c r="D655391" i="2" s="1"/>
  <c r="D655394" i="2" s="1"/>
  <c r="D655388" i="2"/>
  <c r="D655383" i="2"/>
  <c r="D655387" i="2" s="1"/>
  <c r="D655395" i="2" s="1"/>
  <c r="D655382" i="2"/>
  <c r="D655380" i="2"/>
  <c r="D655373" i="2"/>
  <c r="D655372" i="2"/>
  <c r="D655361" i="2"/>
  <c r="D639006" i="2"/>
  <c r="D639007" i="2" s="1"/>
  <c r="D639010" i="2" s="1"/>
  <c r="D639012" i="2" s="1"/>
  <c r="D639004" i="2"/>
  <c r="D638999" i="2"/>
  <c r="D639003" i="2" s="1"/>
  <c r="D638998" i="2"/>
  <c r="D638996" i="2" s="1"/>
  <c r="D638989" i="2"/>
  <c r="D638988" i="2"/>
  <c r="D638977" i="2"/>
  <c r="D622622" i="2"/>
  <c r="D622623" i="2" s="1"/>
  <c r="D622626" i="2" s="1"/>
  <c r="D622620" i="2"/>
  <c r="D622615" i="2"/>
  <c r="D622619" i="2" s="1"/>
  <c r="D622627" i="2" s="1"/>
  <c r="D622614" i="2"/>
  <c r="D622612" i="2"/>
  <c r="D622605" i="2"/>
  <c r="D622604" i="2"/>
  <c r="D622593" i="2"/>
  <c r="D606238" i="2"/>
  <c r="D606239" i="2" s="1"/>
  <c r="D606242" i="2" s="1"/>
  <c r="D606244" i="2" s="1"/>
  <c r="D606236" i="2"/>
  <c r="D606231" i="2"/>
  <c r="D606235" i="2" s="1"/>
  <c r="D606230" i="2"/>
  <c r="D606228" i="2" s="1"/>
  <c r="D606221" i="2"/>
  <c r="D606220" i="2"/>
  <c r="D606209" i="2"/>
  <c r="D589854" i="2"/>
  <c r="D589855" i="2" s="1"/>
  <c r="D589858" i="2" s="1"/>
  <c r="D589852" i="2"/>
  <c r="D589847" i="2"/>
  <c r="D589851" i="2" s="1"/>
  <c r="D589859" i="2" s="1"/>
  <c r="D589846" i="2"/>
  <c r="D589844" i="2" s="1"/>
  <c r="D589837" i="2"/>
  <c r="D589836" i="2"/>
  <c r="D589825" i="2"/>
  <c r="D573470" i="2"/>
  <c r="D573471" i="2" s="1"/>
  <c r="D573474" i="2" s="1"/>
  <c r="D573468" i="2"/>
  <c r="D573463" i="2"/>
  <c r="D573467" i="2" s="1"/>
  <c r="D573475" i="2" s="1"/>
  <c r="D573462" i="2"/>
  <c r="D573460" i="2" s="1"/>
  <c r="D573453" i="2"/>
  <c r="D573452" i="2"/>
  <c r="D573441" i="2"/>
  <c r="D557086" i="2"/>
  <c r="D557087" i="2" s="1"/>
  <c r="D557090" i="2" s="1"/>
  <c r="D557084" i="2"/>
  <c r="D557079" i="2"/>
  <c r="D557083" i="2" s="1"/>
  <c r="D557091" i="2" s="1"/>
  <c r="D557078" i="2"/>
  <c r="D557076" i="2"/>
  <c r="D557069" i="2"/>
  <c r="D557068" i="2"/>
  <c r="D557057" i="2"/>
  <c r="D540702" i="2"/>
  <c r="D540703" i="2" s="1"/>
  <c r="D540706" i="2" s="1"/>
  <c r="D540700" i="2"/>
  <c r="D540695" i="2"/>
  <c r="D540699" i="2" s="1"/>
  <c r="D540694" i="2"/>
  <c r="D540692" i="2"/>
  <c r="D540685" i="2"/>
  <c r="D540684" i="2"/>
  <c r="D540673" i="2"/>
  <c r="D524318" i="2"/>
  <c r="D524319" i="2" s="1"/>
  <c r="D524322" i="2" s="1"/>
  <c r="D524316" i="2"/>
  <c r="D524311" i="2"/>
  <c r="D524315" i="2" s="1"/>
  <c r="D524323" i="2" s="1"/>
  <c r="D524310" i="2"/>
  <c r="D524308" i="2"/>
  <c r="D524301" i="2"/>
  <c r="D524300" i="2"/>
  <c r="D524289" i="2"/>
  <c r="D524324" i="2" s="1"/>
  <c r="D507934" i="2"/>
  <c r="D507935" i="2" s="1"/>
  <c r="D507938" i="2" s="1"/>
  <c r="D507932" i="2"/>
  <c r="D507927" i="2"/>
  <c r="D507931" i="2" s="1"/>
  <c r="D507939" i="2" s="1"/>
  <c r="D507926" i="2"/>
  <c r="D507924" i="2"/>
  <c r="D507917" i="2"/>
  <c r="D507916" i="2"/>
  <c r="D507905" i="2"/>
  <c r="D491550" i="2"/>
  <c r="D491551" i="2" s="1"/>
  <c r="D491554" i="2" s="1"/>
  <c r="D491548" i="2"/>
  <c r="D491543" i="2"/>
  <c r="D491547" i="2" s="1"/>
  <c r="D491555" i="2" s="1"/>
  <c r="D491542" i="2"/>
  <c r="D491540" i="2"/>
  <c r="D491533" i="2"/>
  <c r="D491532" i="2"/>
  <c r="D491521" i="2"/>
  <c r="D475166" i="2"/>
  <c r="D475167" i="2" s="1"/>
  <c r="D475170" i="2" s="1"/>
  <c r="D475164" i="2"/>
  <c r="D475159" i="2"/>
  <c r="D475163" i="2" s="1"/>
  <c r="D475171" i="2" s="1"/>
  <c r="D475158" i="2"/>
  <c r="D475156" i="2"/>
  <c r="D475149" i="2"/>
  <c r="D475148" i="2"/>
  <c r="D475137" i="2"/>
  <c r="D458782" i="2"/>
  <c r="D458783" i="2" s="1"/>
  <c r="D458786" i="2" s="1"/>
  <c r="D458780" i="2"/>
  <c r="D458775" i="2"/>
  <c r="D458779" i="2" s="1"/>
  <c r="D458787" i="2" s="1"/>
  <c r="D458774" i="2"/>
  <c r="D458772" i="2"/>
  <c r="D458765" i="2"/>
  <c r="D458764" i="2"/>
  <c r="D458753" i="2"/>
  <c r="D442398" i="2"/>
  <c r="D442399" i="2" s="1"/>
  <c r="D442402" i="2" s="1"/>
  <c r="D442396" i="2"/>
  <c r="D442391" i="2"/>
  <c r="D442395" i="2" s="1"/>
  <c r="D442403" i="2" s="1"/>
  <c r="D442390" i="2"/>
  <c r="D442388" i="2"/>
  <c r="D442381" i="2"/>
  <c r="D442380" i="2"/>
  <c r="D442369" i="2"/>
  <c r="D426014" i="2"/>
  <c r="D426015" i="2" s="1"/>
  <c r="D426018" i="2" s="1"/>
  <c r="D426012" i="2"/>
  <c r="D426007" i="2"/>
  <c r="D426011" i="2" s="1"/>
  <c r="D426019" i="2" s="1"/>
  <c r="D426006" i="2"/>
  <c r="D426004" i="2"/>
  <c r="D425997" i="2"/>
  <c r="D425996" i="2"/>
  <c r="D425985" i="2"/>
  <c r="D409630" i="2"/>
  <c r="D409631" i="2" s="1"/>
  <c r="D409634" i="2" s="1"/>
  <c r="D409628" i="2"/>
  <c r="D409623" i="2"/>
  <c r="D409627" i="2" s="1"/>
  <c r="D409635" i="2" s="1"/>
  <c r="D409622" i="2"/>
  <c r="D409620" i="2"/>
  <c r="D409613" i="2"/>
  <c r="D409612" i="2"/>
  <c r="D409601" i="2"/>
  <c r="D393246" i="2"/>
  <c r="D393247" i="2" s="1"/>
  <c r="D393250" i="2" s="1"/>
  <c r="D393244" i="2"/>
  <c r="D393239" i="2"/>
  <c r="D393243" i="2" s="1"/>
  <c r="D393251" i="2" s="1"/>
  <c r="D393238" i="2"/>
  <c r="D393236" i="2"/>
  <c r="D393229" i="2"/>
  <c r="D393228" i="2"/>
  <c r="D393217" i="2"/>
  <c r="D376862" i="2"/>
  <c r="D376863" i="2" s="1"/>
  <c r="D376866" i="2" s="1"/>
  <c r="D376860" i="2"/>
  <c r="D376855" i="2"/>
  <c r="D376859" i="2" s="1"/>
  <c r="D376867" i="2" s="1"/>
  <c r="D376854" i="2"/>
  <c r="D376852" i="2" s="1"/>
  <c r="D376845" i="2"/>
  <c r="D376844" i="2"/>
  <c r="D376833" i="2"/>
  <c r="D360478" i="2"/>
  <c r="D360479" i="2" s="1"/>
  <c r="D360482" i="2" s="1"/>
  <c r="D360476" i="2"/>
  <c r="D360471" i="2"/>
  <c r="D360475" i="2" s="1"/>
  <c r="D360483" i="2" s="1"/>
  <c r="D360470" i="2"/>
  <c r="D360468" i="2" s="1"/>
  <c r="D360461" i="2"/>
  <c r="D360460" i="2"/>
  <c r="D360449" i="2"/>
  <c r="D344094" i="2"/>
  <c r="D344095" i="2" s="1"/>
  <c r="D344098" i="2" s="1"/>
  <c r="D344092" i="2"/>
  <c r="D344087" i="2"/>
  <c r="D344091" i="2" s="1"/>
  <c r="D344099" i="2" s="1"/>
  <c r="D344086" i="2"/>
  <c r="D344084" i="2"/>
  <c r="D344077" i="2"/>
  <c r="D344076" i="2"/>
  <c r="D344065" i="2"/>
  <c r="D327710" i="2"/>
  <c r="D327711" i="2" s="1"/>
  <c r="D327714" i="2" s="1"/>
  <c r="D327708" i="2"/>
  <c r="D327703" i="2"/>
  <c r="D327707" i="2" s="1"/>
  <c r="D327702" i="2"/>
  <c r="D327700" i="2" s="1"/>
  <c r="D327693" i="2"/>
  <c r="D327692" i="2"/>
  <c r="D327681" i="2"/>
  <c r="D311326" i="2"/>
  <c r="D311327" i="2" s="1"/>
  <c r="D311330" i="2" s="1"/>
  <c r="D311324" i="2"/>
  <c r="D311319" i="2"/>
  <c r="D311323" i="2" s="1"/>
  <c r="D311331" i="2" s="1"/>
  <c r="D311318" i="2"/>
  <c r="D311316" i="2"/>
  <c r="D311309" i="2"/>
  <c r="D311308" i="2"/>
  <c r="D311297" i="2"/>
  <c r="D294942" i="2"/>
  <c r="D294943" i="2" s="1"/>
  <c r="D294946" i="2" s="1"/>
  <c r="D294940" i="2"/>
  <c r="D294935" i="2"/>
  <c r="D294939" i="2" s="1"/>
  <c r="D294947" i="2" s="1"/>
  <c r="D294934" i="2"/>
  <c r="D294932" i="2"/>
  <c r="D294925" i="2"/>
  <c r="D294924" i="2"/>
  <c r="D294913" i="2"/>
  <c r="D278558" i="2"/>
  <c r="D278559" i="2" s="1"/>
  <c r="D278562" i="2" s="1"/>
  <c r="D278556" i="2"/>
  <c r="D278551" i="2"/>
  <c r="D278555" i="2" s="1"/>
  <c r="D278563" i="2" s="1"/>
  <c r="D278550" i="2"/>
  <c r="D278548" i="2"/>
  <c r="D278541" i="2"/>
  <c r="D278540" i="2"/>
  <c r="D278529" i="2"/>
  <c r="D262174" i="2"/>
  <c r="D262175" i="2" s="1"/>
  <c r="D262178" i="2" s="1"/>
  <c r="D262172" i="2"/>
  <c r="D262167" i="2"/>
  <c r="D262171" i="2" s="1"/>
  <c r="D262166" i="2"/>
  <c r="D262164" i="2"/>
  <c r="D262157" i="2"/>
  <c r="D262156" i="2"/>
  <c r="D262145" i="2"/>
  <c r="D245790" i="2"/>
  <c r="D245791" i="2" s="1"/>
  <c r="D245794" i="2" s="1"/>
  <c r="D245788" i="2"/>
  <c r="D245783" i="2"/>
  <c r="D245787" i="2" s="1"/>
  <c r="D245795" i="2" s="1"/>
  <c r="D245782" i="2"/>
  <c r="D245780" i="2"/>
  <c r="D245773" i="2"/>
  <c r="D245772" i="2"/>
  <c r="D245761" i="2"/>
  <c r="D229406" i="2"/>
  <c r="D229407" i="2" s="1"/>
  <c r="D229410" i="2" s="1"/>
  <c r="D229404" i="2"/>
  <c r="D229399" i="2"/>
  <c r="D229403" i="2" s="1"/>
  <c r="D229398" i="2"/>
  <c r="D229396" i="2"/>
  <c r="D229389" i="2"/>
  <c r="D229388" i="2"/>
  <c r="D229377" i="2"/>
  <c r="D213022" i="2"/>
  <c r="D213023" i="2" s="1"/>
  <c r="D213026" i="2" s="1"/>
  <c r="D213020" i="2"/>
  <c r="D213015" i="2"/>
  <c r="D213019" i="2" s="1"/>
  <c r="D213027" i="2" s="1"/>
  <c r="D213014" i="2"/>
  <c r="D213012" i="2" s="1"/>
  <c r="D213005" i="2"/>
  <c r="D213004" i="2"/>
  <c r="D212993" i="2"/>
  <c r="D196638" i="2"/>
  <c r="D196639" i="2" s="1"/>
  <c r="D196642" i="2" s="1"/>
  <c r="D196636" i="2"/>
  <c r="D196631" i="2"/>
  <c r="D196635" i="2" s="1"/>
  <c r="D196630" i="2"/>
  <c r="D196628" i="2"/>
  <c r="D196621" i="2"/>
  <c r="D196620" i="2"/>
  <c r="D196609" i="2"/>
  <c r="D180254" i="2"/>
  <c r="D180255" i="2" s="1"/>
  <c r="D180258" i="2" s="1"/>
  <c r="D180252" i="2"/>
  <c r="D180247" i="2"/>
  <c r="D180251" i="2" s="1"/>
  <c r="D180259" i="2" s="1"/>
  <c r="D180246" i="2"/>
  <c r="D180244" i="2"/>
  <c r="D180237" i="2"/>
  <c r="D180236" i="2"/>
  <c r="D180225" i="2"/>
  <c r="D180260" i="2" s="1"/>
  <c r="D163875" i="2"/>
  <c r="D163870" i="2"/>
  <c r="D163871" i="2" s="1"/>
  <c r="D163874" i="2" s="1"/>
  <c r="D163868" i="2"/>
  <c r="D163863" i="2"/>
  <c r="D163867" i="2" s="1"/>
  <c r="D163862" i="2"/>
  <c r="D163860" i="2"/>
  <c r="D163853" i="2"/>
  <c r="D163852" i="2"/>
  <c r="D163841" i="2"/>
  <c r="D147486" i="2"/>
  <c r="D147487" i="2" s="1"/>
  <c r="D147490" i="2" s="1"/>
  <c r="D147484" i="2"/>
  <c r="D147479" i="2"/>
  <c r="D147483" i="2" s="1"/>
  <c r="D147491" i="2" s="1"/>
  <c r="D147478" i="2"/>
  <c r="D147476" i="2" s="1"/>
  <c r="D147469" i="2"/>
  <c r="D147468" i="2"/>
  <c r="D147457" i="2"/>
  <c r="D131102" i="2"/>
  <c r="D131103" i="2" s="1"/>
  <c r="D131106" i="2" s="1"/>
  <c r="D131100" i="2"/>
  <c r="D131095" i="2"/>
  <c r="D131099" i="2" s="1"/>
  <c r="D131094" i="2"/>
  <c r="D131092" i="2"/>
  <c r="D131085" i="2"/>
  <c r="D131084" i="2"/>
  <c r="D131073" i="2"/>
  <c r="D114718" i="2"/>
  <c r="D114719" i="2" s="1"/>
  <c r="D114722" i="2" s="1"/>
  <c r="D114716" i="2"/>
  <c r="D114711" i="2"/>
  <c r="D114715" i="2" s="1"/>
  <c r="D114723" i="2" s="1"/>
  <c r="D114710" i="2"/>
  <c r="D114708" i="2" s="1"/>
  <c r="D114701" i="2"/>
  <c r="D114700" i="2"/>
  <c r="D114689" i="2"/>
  <c r="D98334" i="2"/>
  <c r="D98335" i="2" s="1"/>
  <c r="D98338" i="2" s="1"/>
  <c r="D98332" i="2"/>
  <c r="D98327" i="2"/>
  <c r="D98331" i="2" s="1"/>
  <c r="D98326" i="2"/>
  <c r="D98324" i="2"/>
  <c r="D98317" i="2"/>
  <c r="D98316" i="2"/>
  <c r="D98305" i="2"/>
  <c r="D81950" i="2"/>
  <c r="D81951" i="2" s="1"/>
  <c r="D81954" i="2" s="1"/>
  <c r="D81948" i="2"/>
  <c r="D81943" i="2"/>
  <c r="D81947" i="2" s="1"/>
  <c r="D81955" i="2" s="1"/>
  <c r="D81942" i="2"/>
  <c r="D81940" i="2"/>
  <c r="D81933" i="2"/>
  <c r="D81932" i="2"/>
  <c r="D81921" i="2"/>
  <c r="D65566" i="2"/>
  <c r="D65567" i="2" s="1"/>
  <c r="D65570" i="2" s="1"/>
  <c r="D65572" i="2" s="1"/>
  <c r="D65564" i="2"/>
  <c r="D65559" i="2"/>
  <c r="D65563" i="2" s="1"/>
  <c r="D65558" i="2"/>
  <c r="D65556" i="2" s="1"/>
  <c r="D65549" i="2"/>
  <c r="D65548" i="2"/>
  <c r="D65537" i="2"/>
  <c r="D49182" i="2"/>
  <c r="D49183" i="2" s="1"/>
  <c r="D49186" i="2" s="1"/>
  <c r="D49180" i="2"/>
  <c r="D49175" i="2"/>
  <c r="D49179" i="2" s="1"/>
  <c r="D49187" i="2" s="1"/>
  <c r="D49174" i="2"/>
  <c r="D49172" i="2" s="1"/>
  <c r="D49165" i="2"/>
  <c r="D49164" i="2"/>
  <c r="D49153" i="2"/>
  <c r="D32798" i="2"/>
  <c r="D32799" i="2" s="1"/>
  <c r="D32802" i="2" s="1"/>
  <c r="D32796" i="2"/>
  <c r="D32791" i="2"/>
  <c r="D32795" i="2" s="1"/>
  <c r="D32803" i="2" s="1"/>
  <c r="D32790" i="2"/>
  <c r="D32788" i="2" s="1"/>
  <c r="D32781" i="2"/>
  <c r="D32780" i="2"/>
  <c r="D32769" i="2"/>
  <c r="D16414" i="2"/>
  <c r="D16415" i="2" s="1"/>
  <c r="D16418" i="2" s="1"/>
  <c r="D16412" i="2"/>
  <c r="D16407" i="2"/>
  <c r="D16411" i="2" s="1"/>
  <c r="D16406" i="2"/>
  <c r="D16404" i="2"/>
  <c r="D16397" i="2"/>
  <c r="D16396" i="2"/>
  <c r="D16385" i="2"/>
  <c r="D31" i="2"/>
  <c r="D32" i="2" s="1"/>
  <c r="D35" i="2" s="1"/>
  <c r="D29" i="2"/>
  <c r="D24" i="2"/>
  <c r="D28" i="2" s="1"/>
  <c r="D36" i="2" s="1"/>
  <c r="D23" i="2"/>
  <c r="D21" i="2" s="1"/>
  <c r="D14" i="2"/>
  <c r="D13" i="2"/>
  <c r="AD7" i="1"/>
  <c r="AF7" i="1"/>
  <c r="AF8" i="1"/>
  <c r="AF9" i="1"/>
  <c r="AF10" i="1"/>
  <c r="AF11" i="1"/>
  <c r="AF12" i="1"/>
  <c r="AF13" i="1"/>
  <c r="AF14" i="1"/>
  <c r="AF15" i="1"/>
  <c r="AF6" i="1"/>
  <c r="V6" i="1"/>
  <c r="AC7" i="1"/>
  <c r="X7" i="1"/>
  <c r="X8" i="1"/>
  <c r="X9" i="1"/>
  <c r="X10" i="1"/>
  <c r="X11" i="1"/>
  <c r="X12" i="1"/>
  <c r="X13" i="1"/>
  <c r="X15" i="1"/>
  <c r="X6" i="1"/>
  <c r="AD6" i="1"/>
  <c r="C15" i="1"/>
  <c r="C14" i="1"/>
  <c r="C13" i="1"/>
  <c r="C12" i="1"/>
  <c r="C11" i="1"/>
  <c r="C10" i="1"/>
  <c r="C9" i="1"/>
  <c r="C8" i="1"/>
  <c r="C7" i="1"/>
  <c r="C6" i="1"/>
  <c r="D917540" i="2" l="1"/>
  <c r="D983076" i="2"/>
  <c r="D852004" i="2"/>
  <c r="D81956" i="2"/>
  <c r="D589860" i="2"/>
  <c r="D704548" i="2"/>
  <c r="D131107" i="2"/>
  <c r="D360484" i="2"/>
  <c r="D360486" i="2" s="1"/>
  <c r="D573476" i="2"/>
  <c r="D573477" i="2" s="1"/>
  <c r="D147492" i="2"/>
  <c r="D147493" i="2" s="1"/>
  <c r="D114724" i="2"/>
  <c r="D114726" i="2" s="1"/>
  <c r="D884772" i="2"/>
  <c r="D884774" i="2" s="1"/>
  <c r="D49188" i="2"/>
  <c r="D49190" i="2" s="1"/>
  <c r="D688164" i="2"/>
  <c r="D688166" i="2" s="1"/>
  <c r="D393252" i="2"/>
  <c r="D393253" i="2" s="1"/>
  <c r="D458788" i="2"/>
  <c r="D458789" i="2" s="1"/>
  <c r="D65571" i="2"/>
  <c r="D98339" i="2"/>
  <c r="D163876" i="2"/>
  <c r="D327716" i="2"/>
  <c r="D737315" i="2"/>
  <c r="D770083" i="2"/>
  <c r="D802851" i="2"/>
  <c r="D835619" i="2"/>
  <c r="D835621" i="2" s="1"/>
  <c r="D999459" i="2"/>
  <c r="D999462" i="2" s="1"/>
  <c r="D1032227" i="2"/>
  <c r="D278564" i="2"/>
  <c r="D409636" i="2"/>
  <c r="D409637" i="2" s="1"/>
  <c r="D753700" i="2"/>
  <c r="D753702" i="2" s="1"/>
  <c r="D868388" i="2"/>
  <c r="D868389" i="2" s="1"/>
  <c r="D196644" i="2"/>
  <c r="D196646" i="2" s="1"/>
  <c r="D311332" i="2"/>
  <c r="D622628" i="2"/>
  <c r="D622630" i="2" s="1"/>
  <c r="D966692" i="2"/>
  <c r="D966694" i="2" s="1"/>
  <c r="D163878" i="2"/>
  <c r="D426020" i="2"/>
  <c r="D426021" i="2" s="1"/>
  <c r="D802852" i="2"/>
  <c r="D802854" i="2" s="1"/>
  <c r="D933924" i="2"/>
  <c r="D933926" i="2" s="1"/>
  <c r="D475172" i="2"/>
  <c r="D475173" i="2" s="1"/>
  <c r="D507940" i="2"/>
  <c r="D507941" i="2" s="1"/>
  <c r="D655396" i="2"/>
  <c r="D655397" i="2" s="1"/>
  <c r="D720932" i="2"/>
  <c r="D720933" i="2" s="1"/>
  <c r="D835620" i="2"/>
  <c r="D131108" i="2"/>
  <c r="D131109" i="2" s="1"/>
  <c r="D229412" i="2"/>
  <c r="D229414" i="2" s="1"/>
  <c r="D344100" i="2"/>
  <c r="D344102" i="2" s="1"/>
  <c r="D98340" i="2"/>
  <c r="D98341" i="2" s="1"/>
  <c r="D901156" i="2"/>
  <c r="D901158" i="2" s="1"/>
  <c r="D376868" i="2"/>
  <c r="D376869" i="2" s="1"/>
  <c r="D16419" i="2"/>
  <c r="D196643" i="2"/>
  <c r="D229411" i="2"/>
  <c r="D262179" i="2"/>
  <c r="D327715" i="2"/>
  <c r="D327718" i="2" s="1"/>
  <c r="D442404" i="2"/>
  <c r="D442406" i="2" s="1"/>
  <c r="D606243" i="2"/>
  <c r="D639011" i="2"/>
  <c r="D639013" i="2" s="1"/>
  <c r="D81957" i="2"/>
  <c r="D81958" i="2"/>
  <c r="D917542" i="2"/>
  <c r="D917541" i="2"/>
  <c r="D393254" i="2"/>
  <c r="D671782" i="2"/>
  <c r="D65574" i="2"/>
  <c r="D65573" i="2"/>
  <c r="D524326" i="2"/>
  <c r="D524325" i="2"/>
  <c r="D983078" i="2"/>
  <c r="D983077" i="2"/>
  <c r="D1032230" i="2"/>
  <c r="D1032229" i="2"/>
  <c r="D950310" i="2"/>
  <c r="D950309" i="2"/>
  <c r="D180262" i="2"/>
  <c r="D180261" i="2"/>
  <c r="D589862" i="2"/>
  <c r="D589861" i="2"/>
  <c r="D704550" i="2"/>
  <c r="D704549" i="2"/>
  <c r="D278566" i="2"/>
  <c r="D278565" i="2"/>
  <c r="D557094" i="2"/>
  <c r="D557093" i="2"/>
  <c r="D311333" i="2"/>
  <c r="D311334" i="2"/>
  <c r="D98342" i="2"/>
  <c r="D852005" i="2"/>
  <c r="D852006" i="2"/>
  <c r="D409638" i="2"/>
  <c r="D606245" i="2"/>
  <c r="D606246" i="2"/>
  <c r="D639014" i="2"/>
  <c r="D163877" i="2"/>
  <c r="D671781" i="2"/>
  <c r="D786468" i="2"/>
  <c r="D786470" i="2" s="1"/>
  <c r="D540708" i="2"/>
  <c r="D213028" i="2"/>
  <c r="D213029" i="2" s="1"/>
  <c r="D294948" i="2"/>
  <c r="D294950" i="2" s="1"/>
  <c r="D819236" i="2"/>
  <c r="D819238" i="2" s="1"/>
  <c r="D737316" i="2"/>
  <c r="D737318" i="2" s="1"/>
  <c r="D491556" i="2"/>
  <c r="D491557" i="2" s="1"/>
  <c r="D1015844" i="2"/>
  <c r="D1015846" i="2" s="1"/>
  <c r="D32804" i="2"/>
  <c r="D32805" i="2" s="1"/>
  <c r="D557092" i="2"/>
  <c r="D262180" i="2"/>
  <c r="D16420" i="2"/>
  <c r="D37" i="2"/>
  <c r="D38" i="2" s="1"/>
  <c r="D245796" i="2"/>
  <c r="D245798" i="2" s="1"/>
  <c r="D540707" i="2"/>
  <c r="D770084" i="2"/>
  <c r="AG6" i="1"/>
  <c r="AJ6" i="1" s="1"/>
  <c r="AJ15" i="1"/>
  <c r="AA15" i="1"/>
  <c r="AD15" i="1" s="1"/>
  <c r="Y15" i="1"/>
  <c r="O15" i="1"/>
  <c r="N15" i="1"/>
  <c r="AJ14" i="1"/>
  <c r="AA14" i="1"/>
  <c r="AD14" i="1" s="1"/>
  <c r="Y14" i="1"/>
  <c r="O14" i="1"/>
  <c r="N14" i="1"/>
  <c r="AL14" i="1"/>
  <c r="AG13" i="1"/>
  <c r="AJ13" i="1" s="1"/>
  <c r="AA13" i="1"/>
  <c r="AD13" i="1" s="1"/>
  <c r="Y13" i="1"/>
  <c r="O13" i="1"/>
  <c r="N13" i="1"/>
  <c r="AG12" i="1"/>
  <c r="AJ12" i="1" s="1"/>
  <c r="AA12" i="1"/>
  <c r="AD12" i="1" s="1"/>
  <c r="Y12" i="1"/>
  <c r="AC12" i="1" s="1"/>
  <c r="AK12" i="1" s="1"/>
  <c r="O12" i="1"/>
  <c r="N12" i="1"/>
  <c r="AG11" i="1"/>
  <c r="AJ11" i="1" s="1"/>
  <c r="AA11" i="1"/>
  <c r="AD11" i="1" s="1"/>
  <c r="Y11" i="1"/>
  <c r="AC11" i="1" s="1"/>
  <c r="AK11" i="1" s="1"/>
  <c r="O11" i="1"/>
  <c r="N11" i="1"/>
  <c r="AG10" i="1"/>
  <c r="AJ10" i="1" s="1"/>
  <c r="AA10" i="1"/>
  <c r="U10" i="1"/>
  <c r="Y10" i="1" s="1"/>
  <c r="AC10" i="1" s="1"/>
  <c r="O10" i="1"/>
  <c r="N10" i="1"/>
  <c r="AG9" i="1"/>
  <c r="AJ9" i="1" s="1"/>
  <c r="AA9" i="1"/>
  <c r="AD9" i="1" s="1"/>
  <c r="Y9" i="1"/>
  <c r="AC9" i="1" s="1"/>
  <c r="AK9" i="1" s="1"/>
  <c r="O9" i="1"/>
  <c r="N9" i="1"/>
  <c r="AG8" i="1"/>
  <c r="AJ8" i="1" s="1"/>
  <c r="AA8" i="1"/>
  <c r="U8" i="1"/>
  <c r="Y8" i="1" s="1"/>
  <c r="AC8" i="1" s="1"/>
  <c r="O8" i="1"/>
  <c r="N8" i="1"/>
  <c r="AG7" i="1"/>
  <c r="AJ7" i="1" s="1"/>
  <c r="AA7" i="1"/>
  <c r="AK7" i="1" s="1"/>
  <c r="O7" i="1"/>
  <c r="N7" i="1"/>
  <c r="Y6" i="1"/>
  <c r="AC6" i="1" s="1"/>
  <c r="O6" i="1"/>
  <c r="N6" i="1"/>
  <c r="D720934" i="2" l="1"/>
  <c r="D655398" i="2"/>
  <c r="D131110" i="2"/>
  <c r="D507942" i="2"/>
  <c r="D114725" i="2"/>
  <c r="D884773" i="2"/>
  <c r="D573478" i="2"/>
  <c r="D196645" i="2"/>
  <c r="D360485" i="2"/>
  <c r="D868390" i="2"/>
  <c r="D49189" i="2"/>
  <c r="D835622" i="2"/>
  <c r="D458790" i="2"/>
  <c r="D753701" i="2"/>
  <c r="D688165" i="2"/>
  <c r="D147494" i="2"/>
  <c r="D229413" i="2"/>
  <c r="D770085" i="2"/>
  <c r="D442405" i="2"/>
  <c r="D16421" i="2"/>
  <c r="D475174" i="2"/>
  <c r="D999461" i="2"/>
  <c r="D426022" i="2"/>
  <c r="D376870" i="2"/>
  <c r="D786469" i="2"/>
  <c r="D622629" i="2"/>
  <c r="D16422" i="2"/>
  <c r="D327717" i="2"/>
  <c r="D966693" i="2"/>
  <c r="D933925" i="2"/>
  <c r="D802853" i="2"/>
  <c r="D262182" i="2"/>
  <c r="D770086" i="2"/>
  <c r="D344101" i="2"/>
  <c r="D901157" i="2"/>
  <c r="D32806" i="2"/>
  <c r="D1015845" i="2"/>
  <c r="D245797" i="2"/>
  <c r="D819237" i="2"/>
  <c r="D262181" i="2"/>
  <c r="D294949" i="2"/>
  <c r="D39" i="2"/>
  <c r="D540710" i="2"/>
  <c r="D540709" i="2"/>
  <c r="D491558" i="2"/>
  <c r="D213030" i="2"/>
  <c r="D737317" i="2"/>
  <c r="AC13" i="1"/>
  <c r="AK13" i="1" s="1"/>
  <c r="AD10" i="1"/>
  <c r="AK10" i="1" s="1"/>
  <c r="AD8" i="1"/>
  <c r="AK8" i="1" s="1"/>
  <c r="AC14" i="1"/>
  <c r="AK14" i="1" s="1"/>
  <c r="AC15" i="1"/>
  <c r="AK15" i="1" s="1"/>
  <c r="AL7" i="1"/>
  <c r="AN7" i="1" s="1"/>
  <c r="AL13" i="1"/>
  <c r="AL9" i="1"/>
  <c r="AN9" i="1" s="1"/>
  <c r="AL11" i="1"/>
  <c r="AN11" i="1" s="1"/>
  <c r="AL15" i="1"/>
  <c r="AL10" i="1"/>
  <c r="AL12" i="1"/>
  <c r="AN12" i="1" s="1"/>
  <c r="AL8" i="1"/>
  <c r="AL6" i="1"/>
  <c r="AN14" i="1" l="1"/>
  <c r="AM14" i="1"/>
  <c r="AM13" i="1"/>
  <c r="AM8" i="1"/>
  <c r="AM15" i="1"/>
  <c r="AM11" i="1"/>
  <c r="AM10" i="1"/>
  <c r="AN15" i="1"/>
  <c r="AM12" i="1"/>
  <c r="AN10" i="1"/>
  <c r="AM9" i="1"/>
  <c r="AN8" i="1"/>
  <c r="AM7" i="1"/>
  <c r="AN13" i="1"/>
  <c r="AK6" i="1" l="1"/>
  <c r="AM6" i="1" s="1"/>
  <c r="AN6" i="1" l="1"/>
</calcChain>
</file>

<file path=xl/sharedStrings.xml><?xml version="1.0" encoding="utf-8"?>
<sst xmlns="http://schemas.openxmlformats.org/spreadsheetml/2006/main" count="658" uniqueCount="146">
  <si>
    <t>TỶ SUẤT LỢI NHUẬN CỦA VẬT NUÔI</t>
  </si>
  <si>
    <t>STT</t>
  </si>
  <si>
    <t>Thông tin vật nuôi</t>
  </si>
  <si>
    <t>Phòng/Chữa Bệnh</t>
  </si>
  <si>
    <t>Sản phẩm thu hoạch</t>
  </si>
  <si>
    <t>Tính toán thu hoạch</t>
  </si>
  <si>
    <t>Tỷ suất lợi nhuận dự kiến</t>
  </si>
  <si>
    <t>Số lần cho ăn</t>
  </si>
  <si>
    <t>Số lượng thức ăn (Loại thức ăn)</t>
  </si>
  <si>
    <t>Loại thức ăn</t>
  </si>
  <si>
    <t>Giá</t>
  </si>
  <si>
    <t>Chi phí cho ăn</t>
  </si>
  <si>
    <t>Doanh thu</t>
  </si>
  <si>
    <t>Tổng chi phí</t>
  </si>
  <si>
    <t>Tổng lợi nhuận</t>
  </si>
  <si>
    <t>Tỷ suất lợi nhuận thu hoạch tổng</t>
  </si>
  <si>
    <t xml:space="preserve">Tỷ suất lợi nhuận 1 tháng dựa trên việc thu hoạch product 1 </t>
  </si>
  <si>
    <t>Con Giống</t>
  </si>
  <si>
    <t>Định Giá</t>
  </si>
  <si>
    <t>?</t>
  </si>
  <si>
    <t>Slot trồng (Ô CHUỒNG)</t>
  </si>
  <si>
    <t>Thức ăn 1 (Chính)</t>
  </si>
  <si>
    <t>Thức ăn 2 (thay thế)</t>
  </si>
  <si>
    <t>Chu kỳ cho ăn (ngày)</t>
  </si>
  <si>
    <t>EXP thu hoạch Lần cuối</t>
  </si>
  <si>
    <t>Thời điểm phát bệnh</t>
  </si>
  <si>
    <t>Tỉ lệ phát bệnh</t>
  </si>
  <si>
    <t>Số lượng Vắc-xin cần</t>
  </si>
  <si>
    <t xml:space="preserve"> Tổng chi phí Vắc -xin</t>
  </si>
  <si>
    <t xml:space="preserve"> Tổng chi phí thuốc</t>
  </si>
  <si>
    <t>Số lượng thuốc trị bệnh cần</t>
  </si>
  <si>
    <t>Product 1</t>
  </si>
  <si>
    <t>Số lượng Pro1</t>
  </si>
  <si>
    <t>Product 2</t>
  </si>
  <si>
    <t>Số lượng Pro2</t>
  </si>
  <si>
    <t>Chu kỳ thu hoạch (ngày)</t>
  </si>
  <si>
    <t>Tổng chu kỳ thu hoạch (LẦN THU)</t>
  </si>
  <si>
    <t>Số Tháng Nuôi</t>
  </si>
  <si>
    <t>Tổng Product 1</t>
  </si>
  <si>
    <t>Giá Product 1</t>
  </si>
  <si>
    <t>Tổng Product 2 (Final harverst)</t>
  </si>
  <si>
    <t>Giá product 2</t>
  </si>
  <si>
    <t>Tổng Giá trị</t>
  </si>
  <si>
    <t>Số lần cho ăn trong chu kỳ nuôi</t>
  </si>
  <si>
    <t>Trong một chu kỳ nuôi</t>
  </si>
  <si>
    <t>Thức ăn chính</t>
  </si>
  <si>
    <t>Tính theo giá trồng được</t>
  </si>
  <si>
    <t>Tổng chi phí thức ăn trong một chu kỳ nuôi</t>
  </si>
  <si>
    <t>USDT</t>
  </si>
  <si>
    <t>( all chu kỳ)</t>
  </si>
  <si>
    <t>thu lại (Pro1)</t>
  </si>
  <si>
    <t>thu lại (Pro2)</t>
  </si>
  <si>
    <t>Bò sữa</t>
  </si>
  <si>
    <t>9 Slot</t>
  </si>
  <si>
    <t>Sữa bò</t>
  </si>
  <si>
    <t>Thịt bò</t>
  </si>
  <si>
    <t>Cỏ voi</t>
  </si>
  <si>
    <t>Rùa con</t>
  </si>
  <si>
    <t>1 Slot</t>
  </si>
  <si>
    <t>7 Rau Muống</t>
  </si>
  <si>
    <t>12 Dưa hấu</t>
  </si>
  <si>
    <t>Mai rùa</t>
  </si>
  <si>
    <t>Thịt rùa</t>
  </si>
  <si>
    <t>Rau muống</t>
  </si>
  <si>
    <t>Heo con</t>
  </si>
  <si>
    <t>2 Khoai lang</t>
  </si>
  <si>
    <t>2 Bí ngô</t>
  </si>
  <si>
    <t>Da heo</t>
  </si>
  <si>
    <t>Thịt heo</t>
  </si>
  <si>
    <t>Khoai lang</t>
  </si>
  <si>
    <t>Đà điểu V2</t>
  </si>
  <si>
    <t>4 Dưa Hấu</t>
  </si>
  <si>
    <t>cám</t>
  </si>
  <si>
    <t>Trứng đà điểu V2</t>
  </si>
  <si>
    <t>Thịt đà điểu V2</t>
  </si>
  <si>
    <t>Dưa hấu</t>
  </si>
  <si>
    <t>Hươu</t>
  </si>
  <si>
    <t>5 Bắp Ngô</t>
  </si>
  <si>
    <t>CÁM</t>
  </si>
  <si>
    <t>Nhung hươu</t>
  </si>
  <si>
    <t>Thịt Huơu</t>
  </si>
  <si>
    <t>Bắp ngô</t>
  </si>
  <si>
    <t>Gà mái V2</t>
  </si>
  <si>
    <t>2 Bắp Ngô</t>
  </si>
  <si>
    <t>Trứng gà V2</t>
  </si>
  <si>
    <t>Thịt gà V2</t>
  </si>
  <si>
    <t>Dê con V2</t>
  </si>
  <si>
    <t>2 Cỏ voi</t>
  </si>
  <si>
    <t>Sữa dê V2</t>
  </si>
  <si>
    <t>Thịt dê V2</t>
  </si>
  <si>
    <t>Bí ngô</t>
  </si>
  <si>
    <t>Ngỗng con V2 (mới)</t>
  </si>
  <si>
    <t>2 Bắp Cải</t>
  </si>
  <si>
    <t>3 Bắp Ngô</t>
  </si>
  <si>
    <t>Trứng ngỗng V2</t>
  </si>
  <si>
    <t>Thịt ngỗng V2</t>
  </si>
  <si>
    <t>Bắp cải</t>
  </si>
  <si>
    <t>Thỏ con V2 (mới)</t>
  </si>
  <si>
    <t>1 Cà rốt</t>
  </si>
  <si>
    <t>1 Bắp ngô</t>
  </si>
  <si>
    <t>Lông thỏ V2</t>
  </si>
  <si>
    <t>Thịt thỏ V2</t>
  </si>
  <si>
    <t>Cà rốt</t>
  </si>
  <si>
    <t>Vịt V3 (mới)</t>
  </si>
  <si>
    <t>1 Bắp Ngô</t>
  </si>
  <si>
    <t>0.5</t>
  </si>
  <si>
    <t>Trứng vịt V3</t>
  </si>
  <si>
    <t>Thịt vịt V3</t>
  </si>
  <si>
    <t>2 Cỏ Voi</t>
  </si>
  <si>
    <t>4 Khoai Lang</t>
  </si>
  <si>
    <t>THUYẾT MINH CÁCH TÍNH</t>
  </si>
  <si>
    <t>Cách tính</t>
  </si>
  <si>
    <t>Mô tả</t>
  </si>
  <si>
    <t>Khách hàng cung cấp dữ liệu</t>
  </si>
  <si>
    <t>Gía vắc- xin = 30</t>
  </si>
  <si>
    <t>Tổng chi phí vắc- xin = Số lượng vắc- xin * giá vắc- xin</t>
  </si>
  <si>
    <t>120 = 4*30</t>
  </si>
  <si>
    <t>Tổng chi phí thuốc = Số lượng thuốc * giá thuốc</t>
  </si>
  <si>
    <t>Giá thuốc = 70</t>
  </si>
  <si>
    <t>Tổng số lần thu = Số ngày nuôi/ chu kỳ thu hoạch</t>
  </si>
  <si>
    <t>Áp dụng công thức excel
= roungdown(Số ngày nuôi/ Chu kỳ thu hoạch,0)</t>
  </si>
  <si>
    <t>Số ngày nuôi</t>
  </si>
  <si>
    <t>Số ngày nuôi = Số tháng nuôi * 30</t>
  </si>
  <si>
    <t>Tổng Product 1 = Tổng số lần thu * Số lượng Pro 1</t>
  </si>
  <si>
    <t xml:space="preserve">380 = 38 * 10 </t>
  </si>
  <si>
    <t>Tổng giá trị thu lại Pro 1 = Tổng Product 1 * Giá Product1</t>
  </si>
  <si>
    <t>Tổng giá trị thu lại Pro 2 = Tổng Product 2 * Giá Product2</t>
  </si>
  <si>
    <t>Doanh thu = Tổng giá trị Pro 1 + tổng giá trị Pro 2</t>
  </si>
  <si>
    <t>Tổng chi phí = Tỷ lệ phát bệnh*( Định giá + Tổng chi phí cho ăn trong một chu kỳ + Tổng chi phí vắc - xin + Tổng chi phí thuốc) +(1 - tỷ lệ phát bệnh)*(Định giá + Tổng chi phí cho ăn trong một chu kỳ + Tổng chi phí vắc - xin)</t>
  </si>
  <si>
    <t>Tổng lợi nhuận = Doanh thu - Tổng chi phí</t>
  </si>
  <si>
    <t>Lợi nhuận thu hoạch tổng</t>
  </si>
  <si>
    <t>Tỷ suất lợi nhuân thu hoạch tổng=  Doanh thu/ Tổng chi phí x 100%</t>
  </si>
  <si>
    <t>Tỷ suất lợi nhuận 1 tháng dựa trên việc thu hoạch Pro1= [(Tổng giá trị thu lại Pro 1 / Tổng chi phí) *100]/ Số tháng nuôi</t>
  </si>
  <si>
    <t>Tỷ giá YWH/USDT</t>
  </si>
  <si>
    <t>Định giá = USDT * Tỷ giá YWH/USDT</t>
  </si>
  <si>
    <t>19000 = 380 * 50</t>
  </si>
  <si>
    <t>16250= 50 * 325</t>
  </si>
  <si>
    <t>Tổng chi phí thức ăn trong một chu kỳ nuôi = Số lượng thức ăn trong một chu kỳ nuôi * Giá thức ăn (tính theo giá trồng được)</t>
  </si>
  <si>
    <t>5940 = 540 * 11</t>
  </si>
  <si>
    <t xml:space="preserve">35250 = 19000 + 16250 </t>
  </si>
  <si>
    <t>14140 = 0.4*(7800  + 5940 +120+700)+ (1-0.4)*(7800 + 5940 +120)</t>
  </si>
  <si>
    <t>21110  = 35250 - 13140</t>
  </si>
  <si>
    <t>249.29 =(35250/ 14140)%</t>
  </si>
  <si>
    <t>15 = [(19000/ 14140)*100] /9</t>
  </si>
  <si>
    <t>Giá Product 1 (Giá point/sp)</t>
  </si>
  <si>
    <t>Giá product 2(Giá point/sp)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</si>
</sst>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746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4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/>
    </xf>
    <xf numFmtId="0" fontId="3" fillId="13" borderId="2" xfId="0" applyFont="1" applyFill="1" applyBorder="1" applyAlignment="1">
      <alignment horizontal="center" vertical="center" wrapText="1" readingOrder="1"/>
    </xf>
    <xf numFmtId="0" fontId="7" fillId="14" borderId="2" xfId="0" applyFont="1" applyFill="1" applyBorder="1" applyAlignment="1">
      <alignment horizontal="center" vertical="center" wrapText="1" readingOrder="1"/>
    </xf>
    <xf numFmtId="43" fontId="7" fillId="15" borderId="2" xfId="0" applyNumberFormat="1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9" fontId="7" fillId="16" borderId="2" xfId="0" applyNumberFormat="1" applyFont="1" applyFill="1" applyBorder="1" applyAlignment="1">
      <alignment horizontal="center" vertical="center" wrapText="1" readingOrder="1"/>
    </xf>
    <xf numFmtId="9" fontId="7" fillId="14" borderId="2" xfId="0" applyNumberFormat="1" applyFont="1" applyFill="1" applyBorder="1" applyAlignment="1">
      <alignment horizontal="center" vertical="center" wrapText="1" readingOrder="1"/>
    </xf>
    <xf numFmtId="0" fontId="7" fillId="17" borderId="2" xfId="0" applyFont="1" applyFill="1" applyBorder="1" applyAlignment="1">
      <alignment horizontal="center" vertical="center" wrapText="1" readingOrder="1"/>
    </xf>
    <xf numFmtId="164" fontId="7" fillId="17" borderId="2" xfId="0" applyNumberFormat="1" applyFont="1" applyFill="1" applyBorder="1" applyAlignment="1">
      <alignment horizontal="center" vertical="center" wrapText="1" readingOrder="1"/>
    </xf>
    <xf numFmtId="0" fontId="6" fillId="17" borderId="2" xfId="0" applyFont="1" applyFill="1" applyBorder="1" applyAlignment="1">
      <alignment horizontal="center" vertical="center" wrapText="1" readingOrder="1"/>
    </xf>
    <xf numFmtId="0" fontId="7" fillId="16" borderId="2" xfId="0" applyFont="1" applyFill="1" applyBorder="1" applyAlignment="1">
      <alignment horizontal="center" vertical="center" wrapText="1" readingOrder="1"/>
    </xf>
    <xf numFmtId="1" fontId="7" fillId="12" borderId="2" xfId="0" applyNumberFormat="1" applyFont="1" applyFill="1" applyBorder="1" applyAlignment="1">
      <alignment horizontal="center" vertical="center" wrapText="1" readingOrder="1"/>
    </xf>
    <xf numFmtId="3" fontId="7" fillId="14" borderId="2" xfId="0" applyNumberFormat="1" applyFont="1" applyFill="1" applyBorder="1" applyAlignment="1">
      <alignment horizontal="center" vertical="center" wrapText="1" readingOrder="1"/>
    </xf>
    <xf numFmtId="10" fontId="7" fillId="17" borderId="2" xfId="0" applyNumberFormat="1" applyFont="1" applyFill="1" applyBorder="1" applyAlignment="1">
      <alignment horizontal="center" vertical="center" wrapText="1" readingOrder="1"/>
    </xf>
    <xf numFmtId="0" fontId="0" fillId="16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0" borderId="2" xfId="0" applyNumberFormat="1" applyFill="1" applyBorder="1"/>
    <xf numFmtId="3" fontId="0" fillId="12" borderId="2" xfId="0" applyNumberFormat="1" applyFill="1" applyBorder="1" applyAlignment="1">
      <alignment horizontal="center" wrapText="1"/>
    </xf>
    <xf numFmtId="1" fontId="0" fillId="16" borderId="2" xfId="0" applyNumberFormat="1" applyFill="1" applyBorder="1" applyAlignment="1">
      <alignment horizontal="center" vertical="center" wrapText="1"/>
    </xf>
    <xf numFmtId="164" fontId="7" fillId="16" borderId="2" xfId="0" applyNumberFormat="1" applyFont="1" applyFill="1" applyBorder="1" applyAlignment="1">
      <alignment horizontal="center" vertical="center" wrapText="1" readingOrder="1"/>
    </xf>
    <xf numFmtId="0" fontId="3" fillId="13" borderId="2" xfId="0" applyFont="1" applyFill="1" applyBorder="1" applyAlignment="1">
      <alignment horizontal="center" vertical="center" readingOrder="1"/>
    </xf>
    <xf numFmtId="0" fontId="0" fillId="16" borderId="2" xfId="0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 readingOrder="1"/>
    </xf>
    <xf numFmtId="0" fontId="8" fillId="14" borderId="2" xfId="0" applyFont="1" applyFill="1" applyBorder="1" applyAlignment="1">
      <alignment horizontal="center" vertical="center" readingOrder="1"/>
    </xf>
    <xf numFmtId="2" fontId="0" fillId="16" borderId="2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readingOrder="1"/>
    </xf>
    <xf numFmtId="0" fontId="8" fillId="3" borderId="2" xfId="0" applyFont="1" applyFill="1" applyBorder="1" applyAlignment="1">
      <alignment horizontal="center" vertical="center" readingOrder="1"/>
    </xf>
    <xf numFmtId="0" fontId="7" fillId="17" borderId="2" xfId="0" applyFont="1" applyFill="1" applyBorder="1" applyAlignment="1">
      <alignment horizontal="center" vertical="center" readingOrder="1"/>
    </xf>
    <xf numFmtId="0" fontId="8" fillId="17" borderId="2" xfId="0" applyFont="1" applyFill="1" applyBorder="1" applyAlignment="1">
      <alignment horizontal="center" vertical="center" readingOrder="1"/>
    </xf>
    <xf numFmtId="0" fontId="9" fillId="17" borderId="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7" fillId="18" borderId="0" xfId="0" applyFont="1" applyFill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1" fontId="7" fillId="14" borderId="2" xfId="0" applyNumberFormat="1" applyFont="1" applyFill="1" applyBorder="1" applyAlignment="1">
      <alignment horizontal="center" vertical="center" wrapText="1" readingOrder="1"/>
    </xf>
    <xf numFmtId="0" fontId="2" fillId="20" borderId="2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wrapText="1"/>
    </xf>
    <xf numFmtId="0" fontId="11" fillId="22" borderId="2" xfId="0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 readingOrder="1"/>
    </xf>
    <xf numFmtId="0" fontId="5" fillId="12" borderId="4" xfId="0" applyFont="1" applyFill="1" applyBorder="1" applyAlignment="1">
      <alignment horizontal="center" vertical="center" wrapText="1" readingOrder="1"/>
    </xf>
    <xf numFmtId="0" fontId="5" fillId="8" borderId="2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 readingOrder="1"/>
    </xf>
    <xf numFmtId="0" fontId="4" fillId="7" borderId="2" xfId="0" applyFont="1" applyFill="1" applyBorder="1" applyAlignment="1">
      <alignment horizontal="center" vertical="center" wrapText="1" readingOrder="1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6" fillId="6" borderId="6" xfId="0" applyFont="1" applyFill="1" applyBorder="1" applyAlignment="1">
      <alignment horizontal="center" vertical="center" wrapText="1" readingOrder="1"/>
    </xf>
    <xf numFmtId="0" fontId="6" fillId="6" borderId="7" xfId="0" applyFont="1" applyFill="1" applyBorder="1" applyAlignment="1">
      <alignment horizontal="center" vertical="center" wrapText="1" readingOrder="1"/>
    </xf>
    <xf numFmtId="0" fontId="1" fillId="19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8" fillId="14" borderId="0" xfId="0" applyFont="1" applyFill="1" applyBorder="1" applyAlignment="1">
      <alignment horizontal="center" vertical="center" readingOrder="1"/>
    </xf>
    <xf numFmtId="0" fontId="6" fillId="6" borderId="3" xfId="0" applyFont="1" applyFill="1" applyBorder="1" applyAlignment="1">
      <alignment horizontal="center" vertical="center" wrapText="1" readingOrder="1"/>
    </xf>
    <xf numFmtId="0" fontId="6" fillId="6" borderId="4" xfId="0" applyFont="1" applyFill="1" applyBorder="1" applyAlignment="1">
      <alignment horizontal="center" vertical="center" wrapText="1" readingOrder="1"/>
    </xf>
    <xf numFmtId="0" fontId="4" fillId="6" borderId="6" xfId="0" applyFont="1" applyFill="1" applyBorder="1" applyAlignment="1">
      <alignment horizontal="center" vertical="center" wrapText="1" readingOrder="1"/>
    </xf>
    <xf numFmtId="0" fontId="4" fillId="6" borderId="8" xfId="0" applyFont="1" applyFill="1" applyBorder="1" applyAlignment="1">
      <alignment horizontal="center" vertical="center" wrapText="1" readingOrder="1"/>
    </xf>
    <xf numFmtId="0" fontId="4" fillId="6" borderId="7" xfId="0" applyFont="1" applyFill="1" applyBorder="1" applyAlignment="1">
      <alignment horizontal="center" vertical="center" wrapText="1" readingOrder="1"/>
    </xf>
    <xf numFmtId="164" fontId="7" fillId="12" borderId="2" xfId="0" applyNumberFormat="1" applyFont="1" applyFill="1" applyBorder="1" applyAlignment="1">
      <alignment horizontal="center" vertical="center" wrapText="1" readingOrder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57D3-3792-4E9F-BE5F-B51773CC9597}">
  <dimension ref="A1:AR17"/>
  <sheetViews>
    <sheetView tabSelected="1" topLeftCell="T1" zoomScale="98" workbookViewId="0">
      <selection activeCell="V6" sqref="V6"/>
    </sheetView>
  </sheetViews>
  <sheetFormatPr defaultRowHeight="15.5" x14ac:dyDescent="0.35"/>
  <cols>
    <col min="1" max="1" width="5.54296875" style="42" customWidth="1"/>
    <col min="2" max="2" width="22" style="43" customWidth="1"/>
    <col min="3" max="3" width="11.36328125" bestFit="1" customWidth="1"/>
    <col min="4" max="4" width="10.36328125" bestFit="1" customWidth="1"/>
    <col min="5" max="10" width="10.08984375" customWidth="1"/>
    <col min="17" max="17" width="21.54296875" customWidth="1"/>
    <col min="19" max="19" width="15.453125" customWidth="1"/>
    <col min="22" max="22" width="11.6328125" bestFit="1" customWidth="1"/>
    <col min="25" max="25" width="11.6328125" bestFit="1" customWidth="1"/>
    <col min="26" max="26" width="11.6328125" customWidth="1"/>
    <col min="27" max="28" width="11.6328125" bestFit="1" customWidth="1"/>
    <col min="30" max="30" width="9.1796875" bestFit="1" customWidth="1"/>
    <col min="31" max="31" width="14.36328125" customWidth="1"/>
    <col min="32" max="36" width="13.90625" style="44" customWidth="1"/>
    <col min="37" max="37" width="15.6328125" customWidth="1"/>
    <col min="38" max="38" width="15.1796875" customWidth="1"/>
    <col min="39" max="39" width="20.08984375" customWidth="1"/>
    <col min="40" max="40" width="20.26953125" customWidth="1"/>
    <col min="41" max="41" width="13.54296875" style="45" customWidth="1"/>
  </cols>
  <sheetData>
    <row r="1" spans="1:44" ht="15.5" customHeight="1" x14ac:dyDescent="0.3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</row>
    <row r="2" spans="1:44" ht="16" customHeight="1" x14ac:dyDescent="0.3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</row>
    <row r="3" spans="1:44" s="5" customFormat="1" ht="43.5" x14ac:dyDescent="0.35">
      <c r="A3" s="64" t="s">
        <v>1</v>
      </c>
      <c r="B3" s="1" t="s">
        <v>2</v>
      </c>
      <c r="C3" s="2"/>
      <c r="D3" s="2"/>
      <c r="E3" s="2"/>
      <c r="F3" s="2"/>
      <c r="G3" s="2"/>
      <c r="H3" s="2"/>
      <c r="I3" s="2"/>
      <c r="J3" s="2"/>
      <c r="K3" s="65" t="s">
        <v>3</v>
      </c>
      <c r="L3" s="66"/>
      <c r="M3" s="66"/>
      <c r="N3" s="66"/>
      <c r="O3" s="66"/>
      <c r="P3" s="66"/>
      <c r="Q3" s="84" t="s">
        <v>4</v>
      </c>
      <c r="R3" s="85"/>
      <c r="S3" s="85"/>
      <c r="T3" s="85"/>
      <c r="U3" s="85"/>
      <c r="V3" s="85"/>
      <c r="W3" s="85"/>
      <c r="X3" s="86"/>
      <c r="Y3" s="68" t="s">
        <v>5</v>
      </c>
      <c r="Z3" s="68"/>
      <c r="AA3" s="66"/>
      <c r="AB3" s="66"/>
      <c r="AC3" s="66"/>
      <c r="AD3" s="66"/>
      <c r="AE3" s="3" t="s">
        <v>6</v>
      </c>
      <c r="AF3" s="4" t="s">
        <v>7</v>
      </c>
      <c r="AG3" s="4" t="s">
        <v>8</v>
      </c>
      <c r="AH3" s="4" t="s">
        <v>9</v>
      </c>
      <c r="AI3" s="4" t="s">
        <v>10</v>
      </c>
      <c r="AJ3" s="4" t="s">
        <v>11</v>
      </c>
      <c r="AK3" s="69" t="s">
        <v>12</v>
      </c>
      <c r="AL3" s="69" t="s">
        <v>13</v>
      </c>
      <c r="AM3" s="69" t="s">
        <v>14</v>
      </c>
      <c r="AN3" s="70" t="s">
        <v>15</v>
      </c>
      <c r="AO3" s="71" t="s">
        <v>16</v>
      </c>
    </row>
    <row r="4" spans="1:44" s="5" customFormat="1" ht="26" x14ac:dyDescent="0.35">
      <c r="A4" s="64"/>
      <c r="B4" s="72" t="s">
        <v>17</v>
      </c>
      <c r="C4" s="61" t="s">
        <v>18</v>
      </c>
      <c r="D4" s="6"/>
      <c r="E4" s="73" t="s">
        <v>19</v>
      </c>
      <c r="F4" s="75" t="s">
        <v>20</v>
      </c>
      <c r="G4" s="61" t="s">
        <v>21</v>
      </c>
      <c r="H4" s="61" t="s">
        <v>22</v>
      </c>
      <c r="I4" s="61" t="s">
        <v>23</v>
      </c>
      <c r="J4" s="61" t="s">
        <v>24</v>
      </c>
      <c r="K4" s="58" t="s">
        <v>25</v>
      </c>
      <c r="L4" s="58" t="s">
        <v>26</v>
      </c>
      <c r="M4" s="58" t="s">
        <v>27</v>
      </c>
      <c r="N4" s="58" t="s">
        <v>28</v>
      </c>
      <c r="O4" s="58" t="s">
        <v>29</v>
      </c>
      <c r="P4" s="58" t="s">
        <v>30</v>
      </c>
      <c r="Q4" s="58" t="s">
        <v>31</v>
      </c>
      <c r="R4" s="58" t="s">
        <v>32</v>
      </c>
      <c r="S4" s="58" t="s">
        <v>33</v>
      </c>
      <c r="T4" s="58" t="s">
        <v>34</v>
      </c>
      <c r="U4" s="58" t="s">
        <v>35</v>
      </c>
      <c r="V4" s="58" t="s">
        <v>36</v>
      </c>
      <c r="W4" s="60" t="s">
        <v>37</v>
      </c>
      <c r="X4" s="82" t="s">
        <v>121</v>
      </c>
      <c r="Y4" s="7" t="s">
        <v>38</v>
      </c>
      <c r="Z4" s="55" t="s">
        <v>144</v>
      </c>
      <c r="AA4" s="59" t="s">
        <v>40</v>
      </c>
      <c r="AB4" s="55" t="s">
        <v>145</v>
      </c>
      <c r="AC4" s="7" t="s">
        <v>42</v>
      </c>
      <c r="AD4" s="7" t="s">
        <v>42</v>
      </c>
      <c r="AE4" s="57" t="s">
        <v>6</v>
      </c>
      <c r="AF4" s="54" t="s">
        <v>43</v>
      </c>
      <c r="AG4" s="54" t="s">
        <v>44</v>
      </c>
      <c r="AH4" s="54" t="s">
        <v>45</v>
      </c>
      <c r="AI4" s="54" t="s">
        <v>46</v>
      </c>
      <c r="AJ4" s="54" t="s">
        <v>47</v>
      </c>
      <c r="AK4" s="69"/>
      <c r="AL4" s="69"/>
      <c r="AM4" s="69"/>
      <c r="AN4" s="70"/>
      <c r="AO4" s="71"/>
    </row>
    <row r="5" spans="1:44" s="5" customFormat="1" ht="26" x14ac:dyDescent="0.35">
      <c r="A5" s="64"/>
      <c r="B5" s="72"/>
      <c r="C5" s="61"/>
      <c r="D5" s="8" t="s">
        <v>48</v>
      </c>
      <c r="E5" s="74"/>
      <c r="F5" s="75"/>
      <c r="G5" s="61"/>
      <c r="H5" s="61"/>
      <c r="I5" s="61"/>
      <c r="J5" s="61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60"/>
      <c r="X5" s="83"/>
      <c r="Y5" s="7" t="s">
        <v>49</v>
      </c>
      <c r="Z5" s="56"/>
      <c r="AA5" s="59"/>
      <c r="AB5" s="56"/>
      <c r="AC5" s="7" t="s">
        <v>50</v>
      </c>
      <c r="AD5" s="7" t="s">
        <v>51</v>
      </c>
      <c r="AE5" s="57"/>
      <c r="AF5" s="54"/>
      <c r="AG5" s="54"/>
      <c r="AH5" s="54"/>
      <c r="AI5" s="54"/>
      <c r="AJ5" s="54"/>
      <c r="AK5" s="69"/>
      <c r="AL5" s="69"/>
      <c r="AM5" s="69"/>
      <c r="AN5" s="70"/>
      <c r="AO5" s="71"/>
    </row>
    <row r="6" spans="1:44" ht="25" x14ac:dyDescent="0.35">
      <c r="A6" s="9">
        <v>1</v>
      </c>
      <c r="B6" s="10" t="s">
        <v>52</v>
      </c>
      <c r="C6" s="49">
        <f>D6*D17</f>
        <v>7800</v>
      </c>
      <c r="D6" s="11">
        <v>300</v>
      </c>
      <c r="E6" s="12">
        <v>299.88</v>
      </c>
      <c r="F6" s="13" t="s">
        <v>53</v>
      </c>
      <c r="G6" s="11" t="s">
        <v>108</v>
      </c>
      <c r="H6" s="13" t="s">
        <v>109</v>
      </c>
      <c r="I6" s="13">
        <v>1</v>
      </c>
      <c r="J6" s="13">
        <v>10000</v>
      </c>
      <c r="K6" s="14">
        <v>0.3</v>
      </c>
      <c r="L6" s="15">
        <v>0.4</v>
      </c>
      <c r="M6" s="11">
        <v>4</v>
      </c>
      <c r="N6" s="11">
        <f>M6*30</f>
        <v>120</v>
      </c>
      <c r="O6" s="11">
        <f>P6*70</f>
        <v>700</v>
      </c>
      <c r="P6" s="11">
        <v>10</v>
      </c>
      <c r="Q6" s="16" t="s">
        <v>54</v>
      </c>
      <c r="R6" s="16">
        <v>10</v>
      </c>
      <c r="S6" s="16" t="s">
        <v>55</v>
      </c>
      <c r="T6" s="16">
        <v>50</v>
      </c>
      <c r="U6" s="16">
        <v>7</v>
      </c>
      <c r="V6" s="17">
        <f>ROUNDDOWN(X6/U6,0)</f>
        <v>38</v>
      </c>
      <c r="W6" s="18">
        <v>9</v>
      </c>
      <c r="X6" s="18">
        <f>W6*30</f>
        <v>270</v>
      </c>
      <c r="Y6" s="19">
        <f>38*R6</f>
        <v>380</v>
      </c>
      <c r="Z6" s="20">
        <v>50</v>
      </c>
      <c r="AA6" s="19">
        <v>50</v>
      </c>
      <c r="AB6" s="19">
        <v>325</v>
      </c>
      <c r="AC6" s="21">
        <f>Y6*Z6</f>
        <v>19000</v>
      </c>
      <c r="AD6" s="21">
        <f>AA6*AB6</f>
        <v>16250</v>
      </c>
      <c r="AE6" s="22">
        <v>1.3142499999999999</v>
      </c>
      <c r="AF6" s="23">
        <f>ROUNDDOWN(W6*30/I6,0)</f>
        <v>270</v>
      </c>
      <c r="AG6" s="23">
        <f>AF6*2</f>
        <v>540</v>
      </c>
      <c r="AH6" s="23" t="s">
        <v>56</v>
      </c>
      <c r="AI6" s="23">
        <v>11</v>
      </c>
      <c r="AJ6" s="23">
        <f>AG6*AI6</f>
        <v>5940</v>
      </c>
      <c r="AK6" s="24">
        <f>AC6+AD6</f>
        <v>35250</v>
      </c>
      <c r="AL6" s="25">
        <f xml:space="preserve"> L6*(C6+N6+O6+AJ6)+ (1-L6)*(AJ6+C6+N6)</f>
        <v>14140</v>
      </c>
      <c r="AM6" s="26">
        <f>AK6-AL6</f>
        <v>21110</v>
      </c>
      <c r="AN6" s="27">
        <f>AK6/AL6%</f>
        <v>249.29278642149927</v>
      </c>
      <c r="AO6" s="28">
        <v>15</v>
      </c>
    </row>
    <row r="7" spans="1:44" ht="25" x14ac:dyDescent="0.35">
      <c r="A7" s="9">
        <v>2</v>
      </c>
      <c r="B7" s="10" t="s">
        <v>57</v>
      </c>
      <c r="C7" s="49">
        <f>D7*D17</f>
        <v>2340</v>
      </c>
      <c r="D7" s="11">
        <v>90</v>
      </c>
      <c r="E7" s="12">
        <v>79.989999999999995</v>
      </c>
      <c r="F7" s="13" t="s">
        <v>58</v>
      </c>
      <c r="G7" s="11" t="s">
        <v>59</v>
      </c>
      <c r="H7" s="13" t="s">
        <v>60</v>
      </c>
      <c r="I7" s="13">
        <v>7</v>
      </c>
      <c r="J7" s="13">
        <v>20000</v>
      </c>
      <c r="K7" s="14">
        <v>0.5</v>
      </c>
      <c r="L7" s="15">
        <v>0.6</v>
      </c>
      <c r="M7" s="11">
        <v>4</v>
      </c>
      <c r="N7" s="11">
        <f>M7*30</f>
        <v>120</v>
      </c>
      <c r="O7" s="11">
        <f>P7*70</f>
        <v>700</v>
      </c>
      <c r="P7" s="11">
        <v>10</v>
      </c>
      <c r="Q7" s="16" t="s">
        <v>61</v>
      </c>
      <c r="R7" s="16">
        <v>1</v>
      </c>
      <c r="S7" s="16" t="s">
        <v>62</v>
      </c>
      <c r="T7" s="16">
        <v>10</v>
      </c>
      <c r="U7" s="16">
        <v>300</v>
      </c>
      <c r="V7" s="17">
        <f t="shared" ref="V7:V15" si="0">ROUNDDOWN(X7/U7,0)</f>
        <v>1</v>
      </c>
      <c r="W7" s="18">
        <v>10</v>
      </c>
      <c r="X7" s="18">
        <f t="shared" ref="X7:X15" si="1">W7*30</f>
        <v>300</v>
      </c>
      <c r="Y7" s="19">
        <v>1</v>
      </c>
      <c r="Z7" s="20">
        <v>11893</v>
      </c>
      <c r="AA7" s="19">
        <f t="shared" ref="AA7:AA15" si="2">T7</f>
        <v>10</v>
      </c>
      <c r="AB7" s="19">
        <v>1084</v>
      </c>
      <c r="AC7" s="21">
        <f t="shared" ref="AC7:AC15" si="3">Y7*Z7</f>
        <v>11893</v>
      </c>
      <c r="AD7" s="21">
        <f>AA7*AB7</f>
        <v>10840</v>
      </c>
      <c r="AE7" s="22">
        <v>3.4319999999999999</v>
      </c>
      <c r="AF7" s="23">
        <f t="shared" ref="AF7:AF15" si="4">ROUNDDOWN(W7*30/I7,0)</f>
        <v>42</v>
      </c>
      <c r="AG7" s="29">
        <f>AF7*7</f>
        <v>294</v>
      </c>
      <c r="AH7" s="23" t="s">
        <v>63</v>
      </c>
      <c r="AI7" s="23">
        <v>14</v>
      </c>
      <c r="AJ7" s="23">
        <f>AG7*AI7</f>
        <v>4116</v>
      </c>
      <c r="AK7" s="24">
        <f>AC7+AD7</f>
        <v>22733</v>
      </c>
      <c r="AL7" s="25">
        <f xml:space="preserve"> L7*(C7+N7+O7+AJ7)+ (1-L7)*(AJ7+C7+N7)</f>
        <v>6996</v>
      </c>
      <c r="AM7" s="26">
        <f t="shared" ref="AM7:AM15" si="5">AK7-AL7</f>
        <v>15737</v>
      </c>
      <c r="AN7" s="27">
        <f t="shared" ref="AN7:AN15" si="6">AK7/AL7%</f>
        <v>324.94282447112641</v>
      </c>
      <c r="AO7" s="28">
        <v>17</v>
      </c>
      <c r="AR7" s="88"/>
    </row>
    <row r="8" spans="1:44" ht="25" x14ac:dyDescent="0.35">
      <c r="A8" s="9">
        <v>3</v>
      </c>
      <c r="B8" s="10" t="s">
        <v>64</v>
      </c>
      <c r="C8" s="49">
        <f>D8*D17</f>
        <v>2600</v>
      </c>
      <c r="D8" s="11">
        <v>100</v>
      </c>
      <c r="E8" s="12">
        <v>99.88</v>
      </c>
      <c r="F8" s="13" t="s">
        <v>53</v>
      </c>
      <c r="G8" s="11" t="s">
        <v>65</v>
      </c>
      <c r="H8" s="13" t="s">
        <v>66</v>
      </c>
      <c r="I8" s="13">
        <v>1</v>
      </c>
      <c r="J8" s="13">
        <v>8000</v>
      </c>
      <c r="K8" s="14">
        <v>0.5</v>
      </c>
      <c r="L8" s="15">
        <v>0.3</v>
      </c>
      <c r="M8" s="11">
        <v>4</v>
      </c>
      <c r="N8" s="11">
        <f>M8*30</f>
        <v>120</v>
      </c>
      <c r="O8" s="11">
        <f>P8*70</f>
        <v>630</v>
      </c>
      <c r="P8" s="11">
        <v>9</v>
      </c>
      <c r="Q8" s="16" t="s">
        <v>67</v>
      </c>
      <c r="R8" s="16">
        <v>1</v>
      </c>
      <c r="S8" s="16" t="s">
        <v>68</v>
      </c>
      <c r="T8" s="16">
        <v>50</v>
      </c>
      <c r="U8" s="16">
        <f>W8*30</f>
        <v>180</v>
      </c>
      <c r="V8" s="17">
        <f t="shared" si="0"/>
        <v>1</v>
      </c>
      <c r="W8" s="18">
        <v>6</v>
      </c>
      <c r="X8" s="18">
        <f t="shared" si="1"/>
        <v>180</v>
      </c>
      <c r="Y8" s="30">
        <f>V8</f>
        <v>1</v>
      </c>
      <c r="Z8" s="20">
        <v>7042</v>
      </c>
      <c r="AA8" s="19">
        <f t="shared" si="2"/>
        <v>50</v>
      </c>
      <c r="AB8" s="19">
        <v>292</v>
      </c>
      <c r="AC8" s="21">
        <f t="shared" si="3"/>
        <v>7042</v>
      </c>
      <c r="AD8" s="21">
        <f t="shared" ref="AD7:AD15" si="7">AA8*AB8</f>
        <v>14600</v>
      </c>
      <c r="AE8" s="22">
        <v>1.01515</v>
      </c>
      <c r="AF8" s="23">
        <f t="shared" si="4"/>
        <v>180</v>
      </c>
      <c r="AG8" s="23">
        <f>AF8*2</f>
        <v>360</v>
      </c>
      <c r="AH8" s="23" t="s">
        <v>69</v>
      </c>
      <c r="AI8" s="23">
        <v>17</v>
      </c>
      <c r="AJ8" s="23">
        <f>AG8*AI8</f>
        <v>6120</v>
      </c>
      <c r="AK8" s="24">
        <f t="shared" ref="AK8:AK15" si="8">AC8+AD8</f>
        <v>21642</v>
      </c>
      <c r="AL8" s="25">
        <f xml:space="preserve"> L8*(C8+N8+O8+AJ8)+ (1-L8)*(AJ8+C8+N8)</f>
        <v>9029</v>
      </c>
      <c r="AM8" s="26">
        <f t="shared" si="5"/>
        <v>12613</v>
      </c>
      <c r="AN8" s="27">
        <f t="shared" si="6"/>
        <v>239.69431830767525</v>
      </c>
      <c r="AO8" s="28">
        <v>13</v>
      </c>
    </row>
    <row r="9" spans="1:44" x14ac:dyDescent="0.35">
      <c r="A9" s="9">
        <v>4</v>
      </c>
      <c r="B9" s="31" t="s">
        <v>70</v>
      </c>
      <c r="C9" s="49">
        <f>D9*D17</f>
        <v>4420</v>
      </c>
      <c r="D9" s="11">
        <v>170</v>
      </c>
      <c r="E9" s="12">
        <v>139.99</v>
      </c>
      <c r="F9" s="13" t="s">
        <v>58</v>
      </c>
      <c r="G9" s="11" t="s">
        <v>71</v>
      </c>
      <c r="H9" s="13" t="s">
        <v>72</v>
      </c>
      <c r="I9" s="13">
        <v>1</v>
      </c>
      <c r="J9" s="13">
        <v>5000</v>
      </c>
      <c r="K9" s="14">
        <v>0.3</v>
      </c>
      <c r="L9" s="15">
        <v>0.4</v>
      </c>
      <c r="M9" s="11">
        <v>4</v>
      </c>
      <c r="N9" s="11">
        <f>M9*30</f>
        <v>120</v>
      </c>
      <c r="O9" s="11">
        <f>P9*70</f>
        <v>700</v>
      </c>
      <c r="P9" s="11">
        <v>10</v>
      </c>
      <c r="Q9" s="16" t="s">
        <v>73</v>
      </c>
      <c r="R9" s="16">
        <v>1</v>
      </c>
      <c r="S9" s="16" t="s">
        <v>74</v>
      </c>
      <c r="T9" s="16">
        <v>20</v>
      </c>
      <c r="U9" s="16">
        <v>6</v>
      </c>
      <c r="V9" s="17">
        <f t="shared" si="0"/>
        <v>30</v>
      </c>
      <c r="W9" s="18">
        <v>6</v>
      </c>
      <c r="X9" s="18">
        <f t="shared" si="1"/>
        <v>180</v>
      </c>
      <c r="Y9" s="30">
        <f t="shared" ref="Y9:Y15" si="9">V9</f>
        <v>30</v>
      </c>
      <c r="Z9" s="20">
        <v>409</v>
      </c>
      <c r="AA9" s="19">
        <f t="shared" si="2"/>
        <v>20</v>
      </c>
      <c r="AB9" s="19">
        <v>1050</v>
      </c>
      <c r="AC9" s="21">
        <f t="shared" si="3"/>
        <v>12270</v>
      </c>
      <c r="AD9" s="21">
        <f t="shared" si="7"/>
        <v>21000</v>
      </c>
      <c r="AE9" s="22">
        <v>1.3628499999999999</v>
      </c>
      <c r="AF9" s="23">
        <f t="shared" si="4"/>
        <v>180</v>
      </c>
      <c r="AG9" s="32">
        <f>4*180</f>
        <v>720</v>
      </c>
      <c r="AH9" s="32" t="s">
        <v>75</v>
      </c>
      <c r="AI9" s="32">
        <v>17</v>
      </c>
      <c r="AJ9" s="23">
        <f>AG9*AI9</f>
        <v>12240</v>
      </c>
      <c r="AK9" s="24">
        <f t="shared" si="8"/>
        <v>33270</v>
      </c>
      <c r="AL9" s="25">
        <f xml:space="preserve"> L9*(C9+N9+O9+AJ9)+ (1-L9)*(AJ9+C9+N9)</f>
        <v>17060</v>
      </c>
      <c r="AM9" s="26">
        <f t="shared" si="5"/>
        <v>16210</v>
      </c>
      <c r="AN9" s="27">
        <f t="shared" si="6"/>
        <v>195.01758499413833</v>
      </c>
      <c r="AO9" s="28">
        <v>12</v>
      </c>
    </row>
    <row r="10" spans="1:44" x14ac:dyDescent="0.35">
      <c r="A10" s="9">
        <v>5</v>
      </c>
      <c r="B10" s="31" t="s">
        <v>76</v>
      </c>
      <c r="C10" s="49">
        <f>D10*D17</f>
        <v>10400</v>
      </c>
      <c r="D10" s="33">
        <v>400</v>
      </c>
      <c r="E10" s="12">
        <v>2.99</v>
      </c>
      <c r="F10" s="13" t="s">
        <v>53</v>
      </c>
      <c r="G10" s="11" t="s">
        <v>77</v>
      </c>
      <c r="H10" s="13" t="s">
        <v>78</v>
      </c>
      <c r="I10" s="13">
        <v>1</v>
      </c>
      <c r="J10" s="11">
        <v>15000</v>
      </c>
      <c r="K10" s="14">
        <v>0.15</v>
      </c>
      <c r="L10" s="15">
        <v>0.6</v>
      </c>
      <c r="M10" s="11">
        <v>4</v>
      </c>
      <c r="N10" s="11">
        <f>M10*30</f>
        <v>120</v>
      </c>
      <c r="O10" s="11">
        <f t="shared" ref="O10:O15" si="10">P10*70</f>
        <v>630</v>
      </c>
      <c r="P10" s="11">
        <v>9</v>
      </c>
      <c r="Q10" s="16" t="s">
        <v>79</v>
      </c>
      <c r="R10" s="16">
        <v>2</v>
      </c>
      <c r="S10" s="16" t="s">
        <v>80</v>
      </c>
      <c r="T10" s="16">
        <v>40</v>
      </c>
      <c r="U10" s="16">
        <f>6*30</f>
        <v>180</v>
      </c>
      <c r="V10" s="17">
        <f t="shared" si="0"/>
        <v>2</v>
      </c>
      <c r="W10" s="18">
        <v>12</v>
      </c>
      <c r="X10" s="18">
        <f t="shared" si="1"/>
        <v>360</v>
      </c>
      <c r="Y10" s="30">
        <f t="shared" si="9"/>
        <v>2</v>
      </c>
      <c r="Z10" s="20">
        <v>24735</v>
      </c>
      <c r="AA10" s="19">
        <f t="shared" si="2"/>
        <v>40</v>
      </c>
      <c r="AB10" s="19">
        <v>933</v>
      </c>
      <c r="AC10" s="21">
        <f t="shared" si="3"/>
        <v>49470</v>
      </c>
      <c r="AD10" s="21">
        <f t="shared" si="7"/>
        <v>37320</v>
      </c>
      <c r="AE10" s="22">
        <v>0.48349999999999999</v>
      </c>
      <c r="AF10" s="23">
        <f t="shared" si="4"/>
        <v>360</v>
      </c>
      <c r="AG10" s="32">
        <f>AF10*5</f>
        <v>1800</v>
      </c>
      <c r="AH10" s="32" t="s">
        <v>81</v>
      </c>
      <c r="AI10" s="35">
        <v>6</v>
      </c>
      <c r="AJ10" s="23">
        <f>AG10*AI10</f>
        <v>10800</v>
      </c>
      <c r="AK10" s="24">
        <f t="shared" si="8"/>
        <v>86790</v>
      </c>
      <c r="AL10" s="25">
        <f xml:space="preserve"> L10*(C10+N10+O10+AJ10)+ (1-L10)*(AJ10+C10+N10)</f>
        <v>21698</v>
      </c>
      <c r="AM10" s="26">
        <f t="shared" si="5"/>
        <v>65092</v>
      </c>
      <c r="AN10" s="27">
        <f t="shared" si="6"/>
        <v>399.99078256060466</v>
      </c>
      <c r="AO10" s="36">
        <v>19</v>
      </c>
    </row>
    <row r="11" spans="1:44" x14ac:dyDescent="0.35">
      <c r="A11" s="9">
        <v>6</v>
      </c>
      <c r="B11" s="31" t="s">
        <v>82</v>
      </c>
      <c r="C11" s="49">
        <f>D11*D17</f>
        <v>156</v>
      </c>
      <c r="D11" s="33">
        <v>6</v>
      </c>
      <c r="E11" s="12">
        <v>6.99</v>
      </c>
      <c r="F11" s="13" t="s">
        <v>58</v>
      </c>
      <c r="G11" s="11" t="s">
        <v>83</v>
      </c>
      <c r="H11" s="13" t="s">
        <v>78</v>
      </c>
      <c r="I11" s="13">
        <v>1</v>
      </c>
      <c r="J11" s="13">
        <v>3000</v>
      </c>
      <c r="K11" s="14">
        <v>0.15</v>
      </c>
      <c r="L11" s="15">
        <v>0.6</v>
      </c>
      <c r="M11" s="11">
        <v>3</v>
      </c>
      <c r="N11" s="11">
        <f t="shared" ref="N11:N15" si="11">M11*30</f>
        <v>90</v>
      </c>
      <c r="O11" s="11">
        <f t="shared" si="10"/>
        <v>210</v>
      </c>
      <c r="P11" s="11">
        <v>3</v>
      </c>
      <c r="Q11" s="16" t="s">
        <v>84</v>
      </c>
      <c r="R11" s="16">
        <v>1</v>
      </c>
      <c r="S11" s="16" t="s">
        <v>85</v>
      </c>
      <c r="T11" s="16">
        <v>5</v>
      </c>
      <c r="U11" s="16">
        <v>2</v>
      </c>
      <c r="V11" s="17">
        <f t="shared" si="0"/>
        <v>45</v>
      </c>
      <c r="W11" s="18">
        <v>3</v>
      </c>
      <c r="X11" s="18">
        <f t="shared" si="1"/>
        <v>90</v>
      </c>
      <c r="Y11" s="30">
        <f t="shared" si="9"/>
        <v>45</v>
      </c>
      <c r="Z11" s="20">
        <v>11</v>
      </c>
      <c r="AA11" s="19">
        <f t="shared" si="2"/>
        <v>5</v>
      </c>
      <c r="AB11" s="19">
        <v>310</v>
      </c>
      <c r="AC11" s="21">
        <f t="shared" si="3"/>
        <v>495</v>
      </c>
      <c r="AD11" s="21">
        <f t="shared" si="7"/>
        <v>1550</v>
      </c>
      <c r="AE11" s="22">
        <v>0.79920000000000002</v>
      </c>
      <c r="AF11" s="23">
        <f t="shared" si="4"/>
        <v>90</v>
      </c>
      <c r="AG11" s="32">
        <f>AF11*2</f>
        <v>180</v>
      </c>
      <c r="AH11" s="32" t="s">
        <v>81</v>
      </c>
      <c r="AI11" s="35">
        <v>6</v>
      </c>
      <c r="AJ11" s="23">
        <f t="shared" ref="AJ11:AJ15" si="12">AG11*AI11</f>
        <v>1080</v>
      </c>
      <c r="AK11" s="24">
        <f t="shared" si="8"/>
        <v>2045</v>
      </c>
      <c r="AL11" s="25">
        <f xml:space="preserve"> L11*(C11+N11+O11+AJ11)+ (1-L11)*(AJ11+C11+N11)</f>
        <v>1452</v>
      </c>
      <c r="AM11" s="26">
        <f t="shared" si="5"/>
        <v>593</v>
      </c>
      <c r="AN11" s="27">
        <f t="shared" si="6"/>
        <v>140.84022038567494</v>
      </c>
      <c r="AO11" s="28">
        <v>11</v>
      </c>
    </row>
    <row r="12" spans="1:44" x14ac:dyDescent="0.35">
      <c r="A12" s="9">
        <v>7</v>
      </c>
      <c r="B12" s="31" t="s">
        <v>86</v>
      </c>
      <c r="C12" s="49">
        <f>D12*D17</f>
        <v>1300</v>
      </c>
      <c r="D12" s="33">
        <v>50</v>
      </c>
      <c r="E12" s="12">
        <v>49.88</v>
      </c>
      <c r="F12" s="37" t="s">
        <v>53</v>
      </c>
      <c r="G12" s="11" t="s">
        <v>66</v>
      </c>
      <c r="H12" s="13" t="s">
        <v>87</v>
      </c>
      <c r="I12" s="13">
        <v>1</v>
      </c>
      <c r="J12" s="13">
        <v>8000</v>
      </c>
      <c r="K12" s="14">
        <v>0.3</v>
      </c>
      <c r="L12" s="15">
        <v>0.3</v>
      </c>
      <c r="M12" s="11">
        <v>4</v>
      </c>
      <c r="N12" s="11">
        <f t="shared" si="11"/>
        <v>120</v>
      </c>
      <c r="O12" s="11">
        <f t="shared" si="10"/>
        <v>700</v>
      </c>
      <c r="P12" s="11">
        <v>10</v>
      </c>
      <c r="Q12" s="16" t="s">
        <v>88</v>
      </c>
      <c r="R12" s="16">
        <v>2</v>
      </c>
      <c r="S12" s="16" t="s">
        <v>89</v>
      </c>
      <c r="T12" s="16">
        <v>20</v>
      </c>
      <c r="U12" s="16">
        <v>3</v>
      </c>
      <c r="V12" s="17">
        <f t="shared" si="0"/>
        <v>60</v>
      </c>
      <c r="W12" s="18">
        <v>6</v>
      </c>
      <c r="X12" s="18">
        <f t="shared" si="1"/>
        <v>180</v>
      </c>
      <c r="Y12" s="30">
        <f t="shared" si="9"/>
        <v>60</v>
      </c>
      <c r="Z12" s="20">
        <v>24</v>
      </c>
      <c r="AA12" s="19">
        <f t="shared" si="2"/>
        <v>20</v>
      </c>
      <c r="AB12" s="19">
        <v>118</v>
      </c>
      <c r="AC12" s="21">
        <f t="shared" si="3"/>
        <v>1440</v>
      </c>
      <c r="AD12" s="21">
        <f t="shared" si="7"/>
        <v>2360</v>
      </c>
      <c r="AE12" s="22">
        <v>0.99935000000000007</v>
      </c>
      <c r="AF12" s="23">
        <f t="shared" si="4"/>
        <v>180</v>
      </c>
      <c r="AG12" s="32">
        <f xml:space="preserve"> AF12*2</f>
        <v>360</v>
      </c>
      <c r="AH12" s="32" t="s">
        <v>90</v>
      </c>
      <c r="AI12" s="32">
        <v>1.5</v>
      </c>
      <c r="AJ12" s="23">
        <f t="shared" si="12"/>
        <v>540</v>
      </c>
      <c r="AK12" s="24">
        <f t="shared" si="8"/>
        <v>3800</v>
      </c>
      <c r="AL12" s="25">
        <f xml:space="preserve"> L12*(C12+N12+O12+AJ12)+ (1-L12)*(AJ12+C12+N12)</f>
        <v>2170</v>
      </c>
      <c r="AM12" s="26">
        <f t="shared" si="5"/>
        <v>1630</v>
      </c>
      <c r="AN12" s="27">
        <f t="shared" si="6"/>
        <v>175.11520737327189</v>
      </c>
      <c r="AO12" s="36">
        <v>11</v>
      </c>
    </row>
    <row r="13" spans="1:44" x14ac:dyDescent="0.35">
      <c r="A13" s="9">
        <v>8</v>
      </c>
      <c r="B13" s="31" t="s">
        <v>91</v>
      </c>
      <c r="C13" s="49">
        <f>D13*D17</f>
        <v>260</v>
      </c>
      <c r="D13" s="34">
        <v>10</v>
      </c>
      <c r="E13" s="12">
        <v>11.99</v>
      </c>
      <c r="F13" s="13" t="s">
        <v>58</v>
      </c>
      <c r="G13" s="11" t="s">
        <v>92</v>
      </c>
      <c r="H13" s="13" t="s">
        <v>93</v>
      </c>
      <c r="I13" s="13">
        <v>1</v>
      </c>
      <c r="J13" s="38">
        <v>4500</v>
      </c>
      <c r="K13" s="14">
        <v>0.15</v>
      </c>
      <c r="L13" s="15">
        <v>0.4</v>
      </c>
      <c r="M13" s="11">
        <v>4</v>
      </c>
      <c r="N13" s="11">
        <f t="shared" si="11"/>
        <v>120</v>
      </c>
      <c r="O13" s="11">
        <f t="shared" si="10"/>
        <v>140</v>
      </c>
      <c r="P13" s="11">
        <v>2</v>
      </c>
      <c r="Q13" s="39" t="s">
        <v>94</v>
      </c>
      <c r="R13" s="39">
        <v>2</v>
      </c>
      <c r="S13" s="39" t="s">
        <v>95</v>
      </c>
      <c r="T13" s="39">
        <v>5</v>
      </c>
      <c r="U13" s="40">
        <v>3</v>
      </c>
      <c r="V13" s="17">
        <f t="shared" si="0"/>
        <v>30</v>
      </c>
      <c r="W13" s="41">
        <v>3</v>
      </c>
      <c r="X13" s="18">
        <f t="shared" si="1"/>
        <v>90</v>
      </c>
      <c r="Y13" s="30">
        <f t="shared" si="9"/>
        <v>30</v>
      </c>
      <c r="Z13" s="20">
        <v>28</v>
      </c>
      <c r="AA13" s="19">
        <f t="shared" si="2"/>
        <v>5</v>
      </c>
      <c r="AB13" s="19">
        <v>665</v>
      </c>
      <c r="AC13" s="21">
        <f t="shared" si="3"/>
        <v>840</v>
      </c>
      <c r="AD13" s="21">
        <f t="shared" si="7"/>
        <v>3325</v>
      </c>
      <c r="AE13" s="22">
        <v>1.0088999999999999</v>
      </c>
      <c r="AF13" s="23">
        <f t="shared" si="4"/>
        <v>90</v>
      </c>
      <c r="AG13" s="32">
        <f>AF13*2</f>
        <v>180</v>
      </c>
      <c r="AH13" s="32" t="s">
        <v>96</v>
      </c>
      <c r="AI13" s="32">
        <v>13</v>
      </c>
      <c r="AJ13" s="23">
        <f t="shared" si="12"/>
        <v>2340</v>
      </c>
      <c r="AK13" s="24">
        <f t="shared" si="8"/>
        <v>4165</v>
      </c>
      <c r="AL13" s="25">
        <f xml:space="preserve"> L13*(C13+N13+O13+AJ13)+ (1-L13)*(AJ13+C13+N13)</f>
        <v>2776</v>
      </c>
      <c r="AM13" s="26">
        <f t="shared" si="5"/>
        <v>1389</v>
      </c>
      <c r="AN13" s="27">
        <f t="shared" si="6"/>
        <v>150.03602305475505</v>
      </c>
      <c r="AO13" s="36">
        <v>10</v>
      </c>
    </row>
    <row r="14" spans="1:44" x14ac:dyDescent="0.35">
      <c r="A14" s="9">
        <v>9</v>
      </c>
      <c r="B14" s="31" t="s">
        <v>97</v>
      </c>
      <c r="C14" s="49">
        <f>D14*D17</f>
        <v>130</v>
      </c>
      <c r="D14" s="34">
        <v>5</v>
      </c>
      <c r="E14" s="12">
        <v>4.99</v>
      </c>
      <c r="F14" s="13" t="s">
        <v>58</v>
      </c>
      <c r="G14" s="13" t="s">
        <v>98</v>
      </c>
      <c r="H14" s="13" t="s">
        <v>99</v>
      </c>
      <c r="I14" s="13">
        <v>1</v>
      </c>
      <c r="J14" s="38">
        <v>1500</v>
      </c>
      <c r="K14" s="14">
        <v>0.4</v>
      </c>
      <c r="L14" s="15">
        <v>0.5</v>
      </c>
      <c r="M14" s="11">
        <v>2</v>
      </c>
      <c r="N14" s="11">
        <f t="shared" si="11"/>
        <v>60</v>
      </c>
      <c r="O14" s="11">
        <f t="shared" si="10"/>
        <v>140</v>
      </c>
      <c r="P14" s="11">
        <v>2</v>
      </c>
      <c r="Q14" s="39" t="s">
        <v>100</v>
      </c>
      <c r="R14" s="39">
        <v>8</v>
      </c>
      <c r="S14" s="39" t="s">
        <v>101</v>
      </c>
      <c r="T14" s="39">
        <v>5</v>
      </c>
      <c r="U14" s="40">
        <v>40</v>
      </c>
      <c r="V14" s="17">
        <f t="shared" si="0"/>
        <v>2</v>
      </c>
      <c r="W14" s="41">
        <v>2.67</v>
      </c>
      <c r="X14" s="18">
        <v>80</v>
      </c>
      <c r="Y14" s="30">
        <f t="shared" si="9"/>
        <v>2</v>
      </c>
      <c r="Z14" s="20">
        <v>172</v>
      </c>
      <c r="AA14" s="19">
        <f t="shared" si="2"/>
        <v>5</v>
      </c>
      <c r="AB14" s="19">
        <v>289</v>
      </c>
      <c r="AC14" s="21">
        <f t="shared" si="3"/>
        <v>344</v>
      </c>
      <c r="AD14" s="21">
        <f t="shared" si="7"/>
        <v>1445</v>
      </c>
      <c r="AE14" s="22">
        <v>0.55000000000000004</v>
      </c>
      <c r="AF14" s="23">
        <f t="shared" si="4"/>
        <v>80</v>
      </c>
      <c r="AG14" s="32">
        <v>90</v>
      </c>
      <c r="AH14" s="32" t="s">
        <v>102</v>
      </c>
      <c r="AI14" s="32">
        <v>13</v>
      </c>
      <c r="AJ14" s="23">
        <f t="shared" si="12"/>
        <v>1170</v>
      </c>
      <c r="AK14" s="24">
        <f t="shared" si="8"/>
        <v>1789</v>
      </c>
      <c r="AL14" s="25">
        <f xml:space="preserve"> L14*(C14+N14+O14+AJ14)+ (1-L14)*(AJ14+C14+N14)</f>
        <v>1430</v>
      </c>
      <c r="AM14" s="26">
        <f t="shared" si="5"/>
        <v>359</v>
      </c>
      <c r="AN14" s="27">
        <f t="shared" si="6"/>
        <v>125.10489510489509</v>
      </c>
      <c r="AO14" s="36">
        <v>9</v>
      </c>
    </row>
    <row r="15" spans="1:44" x14ac:dyDescent="0.35">
      <c r="A15" s="9">
        <v>10</v>
      </c>
      <c r="B15" s="31" t="s">
        <v>103</v>
      </c>
      <c r="C15" s="49">
        <f>D15*D17</f>
        <v>208</v>
      </c>
      <c r="D15" s="34">
        <v>8</v>
      </c>
      <c r="E15" s="12">
        <v>6.99</v>
      </c>
      <c r="F15" s="13" t="s">
        <v>58</v>
      </c>
      <c r="G15" s="13" t="s">
        <v>104</v>
      </c>
      <c r="H15" s="13" t="s">
        <v>78</v>
      </c>
      <c r="I15" s="13" t="s">
        <v>105</v>
      </c>
      <c r="J15" s="38">
        <v>1000</v>
      </c>
      <c r="K15" s="14">
        <v>0.15</v>
      </c>
      <c r="L15" s="15">
        <v>0.6</v>
      </c>
      <c r="M15" s="11">
        <v>2</v>
      </c>
      <c r="N15" s="11">
        <f t="shared" si="11"/>
        <v>60</v>
      </c>
      <c r="O15" s="11">
        <f t="shared" si="10"/>
        <v>140</v>
      </c>
      <c r="P15" s="11">
        <v>2</v>
      </c>
      <c r="Q15" s="39" t="s">
        <v>106</v>
      </c>
      <c r="R15" s="39">
        <v>1</v>
      </c>
      <c r="S15" s="39" t="s">
        <v>107</v>
      </c>
      <c r="T15" s="39">
        <v>5</v>
      </c>
      <c r="U15" s="40">
        <v>1</v>
      </c>
      <c r="V15" s="17">
        <f t="shared" si="0"/>
        <v>45</v>
      </c>
      <c r="W15" s="41">
        <v>1.5</v>
      </c>
      <c r="X15" s="18">
        <f t="shared" si="1"/>
        <v>45</v>
      </c>
      <c r="Y15" s="30">
        <f t="shared" si="9"/>
        <v>45</v>
      </c>
      <c r="Z15" s="87">
        <v>4.5</v>
      </c>
      <c r="AA15" s="19">
        <f t="shared" si="2"/>
        <v>5</v>
      </c>
      <c r="AB15" s="19">
        <v>332</v>
      </c>
      <c r="AC15" s="21">
        <f t="shared" si="3"/>
        <v>202.5</v>
      </c>
      <c r="AD15" s="21">
        <f t="shared" si="7"/>
        <v>1660</v>
      </c>
      <c r="AE15" s="22">
        <v>0.59819999999999995</v>
      </c>
      <c r="AF15" s="23">
        <f t="shared" si="4"/>
        <v>90</v>
      </c>
      <c r="AG15" s="32">
        <v>180</v>
      </c>
      <c r="AH15" s="32" t="s">
        <v>81</v>
      </c>
      <c r="AI15" s="32">
        <v>6</v>
      </c>
      <c r="AJ15" s="23">
        <f t="shared" si="12"/>
        <v>1080</v>
      </c>
      <c r="AK15" s="24">
        <f t="shared" si="8"/>
        <v>1862.5</v>
      </c>
      <c r="AL15" s="25">
        <f xml:space="preserve"> L15*(C15+N15+O15+AJ15)+ (1-L15)*(AJ15+C15+N15)</f>
        <v>1432</v>
      </c>
      <c r="AM15" s="26">
        <f t="shared" si="5"/>
        <v>430.5</v>
      </c>
      <c r="AN15" s="27">
        <f t="shared" si="6"/>
        <v>130.06284916201116</v>
      </c>
      <c r="AO15" s="36">
        <v>9</v>
      </c>
    </row>
    <row r="16" spans="1:44" x14ac:dyDescent="0.35">
      <c r="F16" s="42"/>
    </row>
    <row r="17" spans="4:37" x14ac:dyDescent="0.35">
      <c r="D17" s="81">
        <v>26</v>
      </c>
      <c r="AB17" s="46"/>
      <c r="AK17" s="48"/>
    </row>
  </sheetData>
  <mergeCells count="41">
    <mergeCell ref="Q3:X3"/>
    <mergeCell ref="A1:AO2"/>
    <mergeCell ref="A3:A5"/>
    <mergeCell ref="K3:P3"/>
    <mergeCell ref="Y3:AD3"/>
    <mergeCell ref="AK3:AK5"/>
    <mergeCell ref="AL3:AL5"/>
    <mergeCell ref="AM3:AM5"/>
    <mergeCell ref="AN3:AN5"/>
    <mergeCell ref="AO3:AO5"/>
    <mergeCell ref="M4:M5"/>
    <mergeCell ref="B4:B5"/>
    <mergeCell ref="C4:C5"/>
    <mergeCell ref="E4:E5"/>
    <mergeCell ref="F4:F5"/>
    <mergeCell ref="G4:G5"/>
    <mergeCell ref="H4:H5"/>
    <mergeCell ref="I4:I5"/>
    <mergeCell ref="J4:J5"/>
    <mergeCell ref="K4:K5"/>
    <mergeCell ref="L4:L5"/>
    <mergeCell ref="AA4:AA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Z4:Z5"/>
    <mergeCell ref="X4:X5"/>
    <mergeCell ref="AJ4:AJ5"/>
    <mergeCell ref="AB4:AB5"/>
    <mergeCell ref="AE4:AE5"/>
    <mergeCell ref="AF4:AF5"/>
    <mergeCell ref="AG4:AG5"/>
    <mergeCell ref="AH4:AH5"/>
    <mergeCell ref="AI4:A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0F7C-4ADB-4F74-B5CD-09F2C26F31C3}">
  <dimension ref="A1:F1032231"/>
  <sheetViews>
    <sheetView topLeftCell="C34" zoomScale="95" workbookViewId="0">
      <selection activeCell="G40" sqref="G40"/>
    </sheetView>
  </sheetViews>
  <sheetFormatPr defaultRowHeight="14.5" x14ac:dyDescent="0.35"/>
  <cols>
    <col min="1" max="1" width="13.6328125" customWidth="1"/>
    <col min="2" max="2" width="13.26953125" customWidth="1"/>
    <col min="3" max="3" width="13.81640625" customWidth="1"/>
    <col min="4" max="4" width="21.81640625" customWidth="1"/>
    <col min="5" max="5" width="64" customWidth="1"/>
    <col min="6" max="6" width="46.81640625" customWidth="1"/>
  </cols>
  <sheetData>
    <row r="1" spans="1:6" ht="26" x14ac:dyDescent="0.6">
      <c r="A1" s="78" t="s">
        <v>110</v>
      </c>
      <c r="B1" s="78"/>
      <c r="C1" s="78"/>
      <c r="D1" s="78"/>
      <c r="E1" s="78"/>
      <c r="F1" s="78"/>
    </row>
    <row r="2" spans="1:6" ht="46.5" customHeight="1" x14ac:dyDescent="0.35">
      <c r="A2" s="1" t="s">
        <v>2</v>
      </c>
      <c r="B2" s="72" t="s">
        <v>17</v>
      </c>
      <c r="C2" s="72"/>
      <c r="D2" s="10" t="s">
        <v>52</v>
      </c>
      <c r="E2" s="50" t="s">
        <v>111</v>
      </c>
      <c r="F2" s="50" t="s">
        <v>112</v>
      </c>
    </row>
    <row r="3" spans="1:6" ht="46.5" customHeight="1" x14ac:dyDescent="0.35">
      <c r="A3" s="2"/>
      <c r="B3" s="61" t="s">
        <v>18</v>
      </c>
      <c r="C3" s="61"/>
      <c r="D3" s="49">
        <f>D4*B43</f>
        <v>7800</v>
      </c>
      <c r="E3" s="51" t="s">
        <v>134</v>
      </c>
      <c r="F3" s="51"/>
    </row>
    <row r="4" spans="1:6" ht="46.5" customHeight="1" x14ac:dyDescent="0.35">
      <c r="A4" s="2"/>
      <c r="B4" s="79" t="s">
        <v>48</v>
      </c>
      <c r="C4" s="80"/>
      <c r="D4" s="11">
        <v>300</v>
      </c>
      <c r="E4" s="51"/>
      <c r="F4" s="51" t="s">
        <v>113</v>
      </c>
    </row>
    <row r="5" spans="1:6" ht="46.5" customHeight="1" x14ac:dyDescent="0.35">
      <c r="A5" s="2"/>
      <c r="B5" s="75" t="s">
        <v>20</v>
      </c>
      <c r="C5" s="75"/>
      <c r="D5" s="13" t="s">
        <v>53</v>
      </c>
      <c r="E5" s="51"/>
      <c r="F5" s="51"/>
    </row>
    <row r="6" spans="1:6" ht="46.5" customHeight="1" x14ac:dyDescent="0.35">
      <c r="A6" s="2"/>
      <c r="B6" s="61" t="s">
        <v>21</v>
      </c>
      <c r="C6" s="61"/>
      <c r="D6" s="11" t="s">
        <v>108</v>
      </c>
      <c r="E6" s="51"/>
      <c r="F6" s="51"/>
    </row>
    <row r="7" spans="1:6" ht="46.5" customHeight="1" x14ac:dyDescent="0.35">
      <c r="A7" s="2"/>
      <c r="B7" s="61" t="s">
        <v>22</v>
      </c>
      <c r="C7" s="61"/>
      <c r="D7" s="13" t="s">
        <v>109</v>
      </c>
      <c r="E7" s="51"/>
      <c r="F7" s="51"/>
    </row>
    <row r="8" spans="1:6" ht="46.5" customHeight="1" x14ac:dyDescent="0.35">
      <c r="A8" s="2"/>
      <c r="B8" s="61" t="s">
        <v>23</v>
      </c>
      <c r="C8" s="61"/>
      <c r="D8" s="13">
        <v>1</v>
      </c>
      <c r="E8" s="51"/>
      <c r="F8" s="51"/>
    </row>
    <row r="9" spans="1:6" ht="46.5" customHeight="1" x14ac:dyDescent="0.35">
      <c r="A9" s="2"/>
      <c r="B9" s="61" t="s">
        <v>24</v>
      </c>
      <c r="C9" s="61"/>
      <c r="D9" s="13">
        <v>10000</v>
      </c>
      <c r="E9" s="51"/>
      <c r="F9" s="51"/>
    </row>
    <row r="10" spans="1:6" ht="46.5" customHeight="1" x14ac:dyDescent="0.35">
      <c r="A10" s="65" t="s">
        <v>3</v>
      </c>
      <c r="B10" s="58" t="s">
        <v>25</v>
      </c>
      <c r="C10" s="58"/>
      <c r="D10" s="14">
        <v>0.3</v>
      </c>
      <c r="E10" s="51"/>
      <c r="F10" s="51"/>
    </row>
    <row r="11" spans="1:6" ht="46.5" customHeight="1" x14ac:dyDescent="0.35">
      <c r="A11" s="66"/>
      <c r="B11" s="58" t="s">
        <v>26</v>
      </c>
      <c r="C11" s="58"/>
      <c r="D11" s="15">
        <v>0.4</v>
      </c>
      <c r="E11" s="51"/>
      <c r="F11" s="51"/>
    </row>
    <row r="12" spans="1:6" ht="46.5" customHeight="1" x14ac:dyDescent="0.35">
      <c r="A12" s="66"/>
      <c r="B12" s="58" t="s">
        <v>27</v>
      </c>
      <c r="C12" s="58"/>
      <c r="D12" s="11">
        <v>4</v>
      </c>
      <c r="E12" s="51"/>
      <c r="F12" s="51" t="s">
        <v>114</v>
      </c>
    </row>
    <row r="13" spans="1:6" ht="46.5" customHeight="1" x14ac:dyDescent="0.35">
      <c r="A13" s="66"/>
      <c r="B13" s="58" t="s">
        <v>28</v>
      </c>
      <c r="C13" s="58"/>
      <c r="D13" s="11">
        <f>D12*30</f>
        <v>120</v>
      </c>
      <c r="E13" s="51" t="s">
        <v>115</v>
      </c>
      <c r="F13" s="51" t="s">
        <v>116</v>
      </c>
    </row>
    <row r="14" spans="1:6" ht="46.5" customHeight="1" x14ac:dyDescent="0.35">
      <c r="A14" s="66"/>
      <c r="B14" s="58" t="s">
        <v>29</v>
      </c>
      <c r="C14" s="58"/>
      <c r="D14" s="11">
        <f>D15*70</f>
        <v>700</v>
      </c>
      <c r="E14" s="51" t="s">
        <v>117</v>
      </c>
      <c r="F14" s="51" t="s">
        <v>118</v>
      </c>
    </row>
    <row r="15" spans="1:6" ht="46.5" customHeight="1" x14ac:dyDescent="0.35">
      <c r="A15" s="66"/>
      <c r="B15" s="58" t="s">
        <v>30</v>
      </c>
      <c r="C15" s="58"/>
      <c r="D15" s="11">
        <v>10</v>
      </c>
      <c r="E15" s="51"/>
      <c r="F15" s="51"/>
    </row>
    <row r="16" spans="1:6" ht="46.5" customHeight="1" x14ac:dyDescent="0.35">
      <c r="A16" s="67" t="s">
        <v>4</v>
      </c>
      <c r="B16" s="58" t="s">
        <v>31</v>
      </c>
      <c r="C16" s="58"/>
      <c r="D16" s="16" t="s">
        <v>54</v>
      </c>
      <c r="E16" s="51"/>
      <c r="F16" s="51"/>
    </row>
    <row r="17" spans="1:6" ht="46.5" customHeight="1" x14ac:dyDescent="0.35">
      <c r="A17" s="66"/>
      <c r="B17" s="58" t="s">
        <v>32</v>
      </c>
      <c r="C17" s="58"/>
      <c r="D17" s="16">
        <v>10</v>
      </c>
      <c r="E17" s="51"/>
      <c r="F17" s="51"/>
    </row>
    <row r="18" spans="1:6" ht="46.5" customHeight="1" x14ac:dyDescent="0.35">
      <c r="A18" s="66"/>
      <c r="B18" s="58" t="s">
        <v>33</v>
      </c>
      <c r="C18" s="58"/>
      <c r="D18" s="16" t="s">
        <v>55</v>
      </c>
      <c r="E18" s="51"/>
      <c r="F18" s="51"/>
    </row>
    <row r="19" spans="1:6" ht="46.5" customHeight="1" x14ac:dyDescent="0.35">
      <c r="A19" s="66"/>
      <c r="B19" s="58" t="s">
        <v>34</v>
      </c>
      <c r="C19" s="58"/>
      <c r="D19" s="16">
        <v>50</v>
      </c>
      <c r="E19" s="51"/>
      <c r="F19" s="51"/>
    </row>
    <row r="20" spans="1:6" ht="46.5" customHeight="1" x14ac:dyDescent="0.35">
      <c r="A20" s="66"/>
      <c r="B20" s="58" t="s">
        <v>35</v>
      </c>
      <c r="C20" s="58"/>
      <c r="D20" s="16">
        <v>7</v>
      </c>
      <c r="E20" s="51"/>
      <c r="F20" s="51"/>
    </row>
    <row r="21" spans="1:6" ht="46.5" customHeight="1" x14ac:dyDescent="0.35">
      <c r="A21" s="66"/>
      <c r="B21" s="58" t="s">
        <v>36</v>
      </c>
      <c r="C21" s="58"/>
      <c r="D21" s="17">
        <f>ROUNDDOWN(D23/D20,0)</f>
        <v>38</v>
      </c>
      <c r="E21" s="51" t="s">
        <v>119</v>
      </c>
      <c r="F21" s="51" t="s">
        <v>120</v>
      </c>
    </row>
    <row r="22" spans="1:6" ht="46.5" customHeight="1" x14ac:dyDescent="0.35">
      <c r="A22" s="66"/>
      <c r="B22" s="60" t="s">
        <v>37</v>
      </c>
      <c r="C22" s="60"/>
      <c r="D22" s="18">
        <v>9</v>
      </c>
      <c r="E22" s="51"/>
      <c r="F22" s="51"/>
    </row>
    <row r="23" spans="1:6" ht="46.5" customHeight="1" x14ac:dyDescent="0.35">
      <c r="A23" s="47"/>
      <c r="B23" s="76" t="s">
        <v>121</v>
      </c>
      <c r="C23" s="77"/>
      <c r="D23" s="18">
        <f>D22*30</f>
        <v>270</v>
      </c>
      <c r="E23" s="51" t="s">
        <v>122</v>
      </c>
      <c r="F23" s="51"/>
    </row>
    <row r="24" spans="1:6" ht="46.5" customHeight="1" x14ac:dyDescent="0.35">
      <c r="A24" s="68" t="s">
        <v>5</v>
      </c>
      <c r="B24" s="7" t="s">
        <v>38</v>
      </c>
      <c r="C24" s="7" t="s">
        <v>49</v>
      </c>
      <c r="D24" s="19">
        <f>38*D17</f>
        <v>380</v>
      </c>
      <c r="E24" s="51" t="s">
        <v>123</v>
      </c>
      <c r="F24" s="51" t="s">
        <v>124</v>
      </c>
    </row>
    <row r="25" spans="1:6" ht="46.5" customHeight="1" x14ac:dyDescent="0.35">
      <c r="A25" s="68"/>
      <c r="B25" s="55" t="s">
        <v>39</v>
      </c>
      <c r="C25" s="56"/>
      <c r="D25" s="20">
        <v>50</v>
      </c>
      <c r="E25" s="51"/>
      <c r="F25" s="51"/>
    </row>
    <row r="26" spans="1:6" ht="46.5" customHeight="1" x14ac:dyDescent="0.35">
      <c r="A26" s="66"/>
      <c r="B26" s="59" t="s">
        <v>40</v>
      </c>
      <c r="C26" s="59"/>
      <c r="D26" s="19">
        <v>50</v>
      </c>
      <c r="E26" s="51"/>
      <c r="F26" s="51"/>
    </row>
    <row r="27" spans="1:6" ht="46.5" customHeight="1" x14ac:dyDescent="0.35">
      <c r="A27" s="66"/>
      <c r="B27" s="55" t="s">
        <v>41</v>
      </c>
      <c r="C27" s="56"/>
      <c r="D27" s="19">
        <v>325</v>
      </c>
      <c r="E27" s="51"/>
      <c r="F27" s="51"/>
    </row>
    <row r="28" spans="1:6" ht="46.5" customHeight="1" x14ac:dyDescent="0.35">
      <c r="A28" s="66"/>
      <c r="B28" s="7" t="s">
        <v>42</v>
      </c>
      <c r="C28" s="7" t="s">
        <v>50</v>
      </c>
      <c r="D28" s="21">
        <f>D24*D25</f>
        <v>19000</v>
      </c>
      <c r="E28" s="51" t="s">
        <v>125</v>
      </c>
      <c r="F28" s="51" t="s">
        <v>135</v>
      </c>
    </row>
    <row r="29" spans="1:6" ht="46.5" customHeight="1" x14ac:dyDescent="0.35">
      <c r="A29" s="66"/>
      <c r="B29" s="7" t="s">
        <v>42</v>
      </c>
      <c r="C29" s="7" t="s">
        <v>51</v>
      </c>
      <c r="D29" s="21">
        <f>D26*D27</f>
        <v>16250</v>
      </c>
      <c r="E29" s="51" t="s">
        <v>126</v>
      </c>
      <c r="F29" s="51" t="s">
        <v>136</v>
      </c>
    </row>
    <row r="30" spans="1:6" ht="46.5" customHeight="1" x14ac:dyDescent="0.35">
      <c r="A30" s="3" t="s">
        <v>6</v>
      </c>
      <c r="B30" s="57" t="s">
        <v>6</v>
      </c>
      <c r="C30" s="57"/>
      <c r="D30" s="22">
        <v>1.3142499999999999</v>
      </c>
      <c r="E30" s="51"/>
      <c r="F30" s="51"/>
    </row>
    <row r="31" spans="1:6" ht="46.5" customHeight="1" x14ac:dyDescent="0.35">
      <c r="A31" s="4" t="s">
        <v>7</v>
      </c>
      <c r="B31" s="54" t="s">
        <v>43</v>
      </c>
      <c r="C31" s="54"/>
      <c r="D31" s="23">
        <f>ROUNDDOWN(D22*30/D8,0)</f>
        <v>270</v>
      </c>
      <c r="E31" s="51"/>
      <c r="F31" s="51"/>
    </row>
    <row r="32" spans="1:6" ht="46.5" customHeight="1" x14ac:dyDescent="0.35">
      <c r="A32" s="4" t="s">
        <v>8</v>
      </c>
      <c r="B32" s="54" t="s">
        <v>44</v>
      </c>
      <c r="C32" s="54"/>
      <c r="D32" s="23">
        <f>D31*2</f>
        <v>540</v>
      </c>
      <c r="E32" s="51"/>
      <c r="F32" s="51"/>
    </row>
    <row r="33" spans="1:6" ht="46.5" customHeight="1" x14ac:dyDescent="0.35">
      <c r="A33" s="4" t="s">
        <v>9</v>
      </c>
      <c r="B33" s="54" t="s">
        <v>45</v>
      </c>
      <c r="C33" s="54"/>
      <c r="D33" s="23" t="s">
        <v>56</v>
      </c>
      <c r="E33" s="51"/>
      <c r="F33" s="51"/>
    </row>
    <row r="34" spans="1:6" ht="46.5" customHeight="1" x14ac:dyDescent="0.35">
      <c r="A34" s="4" t="s">
        <v>10</v>
      </c>
      <c r="B34" s="54" t="s">
        <v>46</v>
      </c>
      <c r="C34" s="54"/>
      <c r="D34" s="23">
        <v>11</v>
      </c>
      <c r="E34" s="51"/>
      <c r="F34" s="51"/>
    </row>
    <row r="35" spans="1:6" ht="46.5" customHeight="1" x14ac:dyDescent="0.35">
      <c r="A35" s="4" t="s">
        <v>11</v>
      </c>
      <c r="B35" s="54" t="s">
        <v>47</v>
      </c>
      <c r="C35" s="54"/>
      <c r="D35" s="23">
        <f>D32*D34</f>
        <v>5940</v>
      </c>
      <c r="E35" s="51" t="s">
        <v>137</v>
      </c>
      <c r="F35" s="51" t="s">
        <v>138</v>
      </c>
    </row>
    <row r="36" spans="1:6" ht="46.5" customHeight="1" x14ac:dyDescent="0.35">
      <c r="A36" s="69" t="s">
        <v>12</v>
      </c>
      <c r="B36" s="69"/>
      <c r="C36" s="69"/>
      <c r="D36" s="24">
        <f>D28+D29</f>
        <v>35250</v>
      </c>
      <c r="E36" s="51" t="s">
        <v>127</v>
      </c>
      <c r="F36" s="51" t="s">
        <v>139</v>
      </c>
    </row>
    <row r="37" spans="1:6" ht="58" x14ac:dyDescent="0.35">
      <c r="A37" s="69" t="s">
        <v>13</v>
      </c>
      <c r="B37" s="69"/>
      <c r="C37" s="69"/>
      <c r="D37" s="25">
        <f xml:space="preserve"> D11*(D3+D13+D14+D35)+ (1-D11)*(D35+D3+D13)</f>
        <v>14140</v>
      </c>
      <c r="E37" s="51" t="s">
        <v>128</v>
      </c>
      <c r="F37" s="51" t="s">
        <v>140</v>
      </c>
    </row>
    <row r="38" spans="1:6" ht="46.5" customHeight="1" x14ac:dyDescent="0.35">
      <c r="A38" s="69" t="s">
        <v>14</v>
      </c>
      <c r="B38" s="69"/>
      <c r="C38" s="69"/>
      <c r="D38" s="26">
        <f>D36-D37</f>
        <v>21110</v>
      </c>
      <c r="E38" s="51" t="s">
        <v>129</v>
      </c>
      <c r="F38" s="51" t="s">
        <v>141</v>
      </c>
    </row>
    <row r="39" spans="1:6" ht="46.5" customHeight="1" x14ac:dyDescent="0.35">
      <c r="A39" s="70" t="s">
        <v>130</v>
      </c>
      <c r="B39" s="70"/>
      <c r="C39" s="70"/>
      <c r="D39" s="27">
        <f>D36/D37%</f>
        <v>249.29278642149927</v>
      </c>
      <c r="E39" s="51" t="s">
        <v>131</v>
      </c>
      <c r="F39" s="51" t="s">
        <v>142</v>
      </c>
    </row>
    <row r="40" spans="1:6" ht="46.5" customHeight="1" x14ac:dyDescent="0.35">
      <c r="A40" s="71" t="s">
        <v>16</v>
      </c>
      <c r="B40" s="71"/>
      <c r="C40" s="71"/>
      <c r="D40" s="28">
        <v>15</v>
      </c>
      <c r="E40" s="51" t="s">
        <v>132</v>
      </c>
      <c r="F40" s="51" t="s">
        <v>143</v>
      </c>
    </row>
    <row r="43" spans="1:6" ht="29" x14ac:dyDescent="0.35">
      <c r="A43" s="52" t="s">
        <v>133</v>
      </c>
      <c r="B43" s="53">
        <v>26</v>
      </c>
    </row>
    <row r="16383" spans="4:4" x14ac:dyDescent="0.35">
      <c r="D16383" s="9">
        <v>1</v>
      </c>
    </row>
    <row r="16384" spans="4:4" ht="15.5" x14ac:dyDescent="0.35">
      <c r="D16384" s="10" t="s">
        <v>52</v>
      </c>
    </row>
    <row r="16385" spans="4:4" x14ac:dyDescent="0.35">
      <c r="D16385" s="49">
        <f>D16386*O16386</f>
        <v>0</v>
      </c>
    </row>
    <row r="16386" spans="4:4" x14ac:dyDescent="0.35">
      <c r="D16386" s="11">
        <v>300</v>
      </c>
    </row>
    <row r="16387" spans="4:4" x14ac:dyDescent="0.35">
      <c r="D16387" s="12">
        <v>299.88</v>
      </c>
    </row>
    <row r="16388" spans="4:4" x14ac:dyDescent="0.35">
      <c r="D16388" s="13" t="s">
        <v>53</v>
      </c>
    </row>
    <row r="16389" spans="4:4" x14ac:dyDescent="0.35">
      <c r="D16389" s="11" t="s">
        <v>108</v>
      </c>
    </row>
    <row r="16390" spans="4:4" x14ac:dyDescent="0.35">
      <c r="D16390" s="13" t="s">
        <v>109</v>
      </c>
    </row>
    <row r="16391" spans="4:4" x14ac:dyDescent="0.35">
      <c r="D16391" s="13">
        <v>1</v>
      </c>
    </row>
    <row r="16392" spans="4:4" x14ac:dyDescent="0.35">
      <c r="D16392" s="13">
        <v>10000</v>
      </c>
    </row>
    <row r="16393" spans="4:4" x14ac:dyDescent="0.35">
      <c r="D16393" s="14">
        <v>0.3</v>
      </c>
    </row>
    <row r="16394" spans="4:4" x14ac:dyDescent="0.35">
      <c r="D16394" s="15">
        <v>0.4</v>
      </c>
    </row>
    <row r="16395" spans="4:4" x14ac:dyDescent="0.35">
      <c r="D16395" s="11">
        <v>4</v>
      </c>
    </row>
    <row r="16396" spans="4:4" x14ac:dyDescent="0.35">
      <c r="D16396" s="11">
        <f>D16395*30</f>
        <v>120</v>
      </c>
    </row>
    <row r="16397" spans="4:4" x14ac:dyDescent="0.35">
      <c r="D16397" s="11">
        <f>D16398*70</f>
        <v>700</v>
      </c>
    </row>
    <row r="16398" spans="4:4" x14ac:dyDescent="0.35">
      <c r="D16398" s="11">
        <v>10</v>
      </c>
    </row>
    <row r="16399" spans="4:4" x14ac:dyDescent="0.35">
      <c r="D16399" s="16" t="s">
        <v>54</v>
      </c>
    </row>
    <row r="16400" spans="4:4" x14ac:dyDescent="0.35">
      <c r="D16400" s="16">
        <v>10</v>
      </c>
    </row>
    <row r="16401" spans="4:4" x14ac:dyDescent="0.35">
      <c r="D16401" s="16" t="s">
        <v>55</v>
      </c>
    </row>
    <row r="16402" spans="4:4" x14ac:dyDescent="0.35">
      <c r="D16402" s="16">
        <v>50</v>
      </c>
    </row>
    <row r="16403" spans="4:4" x14ac:dyDescent="0.35">
      <c r="D16403" s="16">
        <v>7</v>
      </c>
    </row>
    <row r="16404" spans="4:4" x14ac:dyDescent="0.35">
      <c r="D16404" s="17">
        <f>ROUNDDOWN(D16406/D16403,0)</f>
        <v>38</v>
      </c>
    </row>
    <row r="16405" spans="4:4" x14ac:dyDescent="0.35">
      <c r="D16405" s="18">
        <v>9</v>
      </c>
    </row>
    <row r="16406" spans="4:4" x14ac:dyDescent="0.35">
      <c r="D16406" s="18">
        <f>D16405*30</f>
        <v>270</v>
      </c>
    </row>
    <row r="16407" spans="4:4" x14ac:dyDescent="0.35">
      <c r="D16407" s="19">
        <f>38*D16400</f>
        <v>380</v>
      </c>
    </row>
    <row r="16408" spans="4:4" x14ac:dyDescent="0.35">
      <c r="D16408" s="20">
        <v>50</v>
      </c>
    </row>
    <row r="16409" spans="4:4" x14ac:dyDescent="0.35">
      <c r="D16409" s="19">
        <v>50</v>
      </c>
    </row>
    <row r="16410" spans="4:4" x14ac:dyDescent="0.35">
      <c r="D16410" s="19">
        <v>325</v>
      </c>
    </row>
    <row r="16411" spans="4:4" x14ac:dyDescent="0.35">
      <c r="D16411" s="21">
        <f>D16407*D16408</f>
        <v>19000</v>
      </c>
    </row>
    <row r="16412" spans="4:4" x14ac:dyDescent="0.35">
      <c r="D16412" s="21">
        <f>D16409*D16410</f>
        <v>16250</v>
      </c>
    </row>
    <row r="16413" spans="4:4" x14ac:dyDescent="0.35">
      <c r="D16413" s="22">
        <v>1.3142499999999999</v>
      </c>
    </row>
    <row r="16414" spans="4:4" x14ac:dyDescent="0.35">
      <c r="D16414" s="23">
        <f>ROUNDDOWN(D16405*30/D16391,0)</f>
        <v>270</v>
      </c>
    </row>
    <row r="16415" spans="4:4" x14ac:dyDescent="0.35">
      <c r="D16415" s="23">
        <f>D16414*2</f>
        <v>540</v>
      </c>
    </row>
    <row r="16416" spans="4:4" x14ac:dyDescent="0.35">
      <c r="D16416" s="23" t="s">
        <v>56</v>
      </c>
    </row>
    <row r="16417" spans="4:4" x14ac:dyDescent="0.35">
      <c r="D16417" s="23">
        <v>11</v>
      </c>
    </row>
    <row r="16418" spans="4:4" x14ac:dyDescent="0.35">
      <c r="D16418" s="23">
        <f>D16415*D16417</f>
        <v>5940</v>
      </c>
    </row>
    <row r="16419" spans="4:4" x14ac:dyDescent="0.35">
      <c r="D16419" s="24">
        <f>D16411+D16412</f>
        <v>35250</v>
      </c>
    </row>
    <row r="16420" spans="4:4" x14ac:dyDescent="0.35">
      <c r="D16420" s="25">
        <f xml:space="preserve"> D16394*(D16385+D16396+D16397+D16418)+ (1-D16394)*(D16418+D16385+D16396)</f>
        <v>6340</v>
      </c>
    </row>
    <row r="16421" spans="4:4" x14ac:dyDescent="0.35">
      <c r="D16421" s="26">
        <f>D16419-D16420</f>
        <v>28910</v>
      </c>
    </row>
    <row r="16422" spans="4:4" x14ac:dyDescent="0.35">
      <c r="D16422" s="27">
        <f>D16419/D16420%</f>
        <v>555.99369085173498</v>
      </c>
    </row>
    <row r="16423" spans="4:4" x14ac:dyDescent="0.35">
      <c r="D16423" s="28">
        <v>15</v>
      </c>
    </row>
    <row r="32767" spans="4:4" x14ac:dyDescent="0.35">
      <c r="D32767" s="9">
        <v>1</v>
      </c>
    </row>
    <row r="32768" spans="4:4" ht="15.5" x14ac:dyDescent="0.35">
      <c r="D32768" s="10" t="s">
        <v>52</v>
      </c>
    </row>
    <row r="32769" spans="4:4" x14ac:dyDescent="0.35">
      <c r="D32769" s="49">
        <f>D32770*O32770</f>
        <v>0</v>
      </c>
    </row>
    <row r="32770" spans="4:4" x14ac:dyDescent="0.35">
      <c r="D32770" s="11">
        <v>300</v>
      </c>
    </row>
    <row r="32771" spans="4:4" x14ac:dyDescent="0.35">
      <c r="D32771" s="12">
        <v>299.88</v>
      </c>
    </row>
    <row r="32772" spans="4:4" x14ac:dyDescent="0.35">
      <c r="D32772" s="13" t="s">
        <v>53</v>
      </c>
    </row>
    <row r="32773" spans="4:4" x14ac:dyDescent="0.35">
      <c r="D32773" s="11" t="s">
        <v>108</v>
      </c>
    </row>
    <row r="32774" spans="4:4" x14ac:dyDescent="0.35">
      <c r="D32774" s="13" t="s">
        <v>109</v>
      </c>
    </row>
    <row r="32775" spans="4:4" x14ac:dyDescent="0.35">
      <c r="D32775" s="13">
        <v>1</v>
      </c>
    </row>
    <row r="32776" spans="4:4" x14ac:dyDescent="0.35">
      <c r="D32776" s="13">
        <v>10000</v>
      </c>
    </row>
    <row r="32777" spans="4:4" x14ac:dyDescent="0.35">
      <c r="D32777" s="14">
        <v>0.3</v>
      </c>
    </row>
    <row r="32778" spans="4:4" x14ac:dyDescent="0.35">
      <c r="D32778" s="15">
        <v>0.4</v>
      </c>
    </row>
    <row r="32779" spans="4:4" x14ac:dyDescent="0.35">
      <c r="D32779" s="11">
        <v>4</v>
      </c>
    </row>
    <row r="32780" spans="4:4" x14ac:dyDescent="0.35">
      <c r="D32780" s="11">
        <f>D32779*30</f>
        <v>120</v>
      </c>
    </row>
    <row r="32781" spans="4:4" x14ac:dyDescent="0.35">
      <c r="D32781" s="11">
        <f>D32782*70</f>
        <v>700</v>
      </c>
    </row>
    <row r="32782" spans="4:4" x14ac:dyDescent="0.35">
      <c r="D32782" s="11">
        <v>10</v>
      </c>
    </row>
    <row r="32783" spans="4:4" x14ac:dyDescent="0.35">
      <c r="D32783" s="16" t="s">
        <v>54</v>
      </c>
    </row>
    <row r="32784" spans="4:4" x14ac:dyDescent="0.35">
      <c r="D32784" s="16">
        <v>10</v>
      </c>
    </row>
    <row r="32785" spans="4:4" x14ac:dyDescent="0.35">
      <c r="D32785" s="16" t="s">
        <v>55</v>
      </c>
    </row>
    <row r="32786" spans="4:4" x14ac:dyDescent="0.35">
      <c r="D32786" s="16">
        <v>50</v>
      </c>
    </row>
    <row r="32787" spans="4:4" x14ac:dyDescent="0.35">
      <c r="D32787" s="16">
        <v>7</v>
      </c>
    </row>
    <row r="32788" spans="4:4" x14ac:dyDescent="0.35">
      <c r="D32788" s="17">
        <f>ROUNDDOWN(D32790/D32787,0)</f>
        <v>38</v>
      </c>
    </row>
    <row r="32789" spans="4:4" x14ac:dyDescent="0.35">
      <c r="D32789" s="18">
        <v>9</v>
      </c>
    </row>
    <row r="32790" spans="4:4" x14ac:dyDescent="0.35">
      <c r="D32790" s="18">
        <f>D32789*30</f>
        <v>270</v>
      </c>
    </row>
    <row r="32791" spans="4:4" x14ac:dyDescent="0.35">
      <c r="D32791" s="19">
        <f>38*D32784</f>
        <v>380</v>
      </c>
    </row>
    <row r="32792" spans="4:4" x14ac:dyDescent="0.35">
      <c r="D32792" s="20">
        <v>50</v>
      </c>
    </row>
    <row r="32793" spans="4:4" x14ac:dyDescent="0.35">
      <c r="D32793" s="19">
        <v>50</v>
      </c>
    </row>
    <row r="32794" spans="4:4" x14ac:dyDescent="0.35">
      <c r="D32794" s="19">
        <v>325</v>
      </c>
    </row>
    <row r="32795" spans="4:4" x14ac:dyDescent="0.35">
      <c r="D32795" s="21">
        <f>D32791*D32792</f>
        <v>19000</v>
      </c>
    </row>
    <row r="32796" spans="4:4" x14ac:dyDescent="0.35">
      <c r="D32796" s="21">
        <f>D32793*D32794</f>
        <v>16250</v>
      </c>
    </row>
    <row r="32797" spans="4:4" x14ac:dyDescent="0.35">
      <c r="D32797" s="22">
        <v>1.3142499999999999</v>
      </c>
    </row>
    <row r="32798" spans="4:4" x14ac:dyDescent="0.35">
      <c r="D32798" s="23">
        <f>ROUNDDOWN(D32789*30/D32775,0)</f>
        <v>270</v>
      </c>
    </row>
    <row r="32799" spans="4:4" x14ac:dyDescent="0.35">
      <c r="D32799" s="23">
        <f>D32798*2</f>
        <v>540</v>
      </c>
    </row>
    <row r="32800" spans="4:4" x14ac:dyDescent="0.35">
      <c r="D32800" s="23" t="s">
        <v>56</v>
      </c>
    </row>
    <row r="32801" spans="4:4" x14ac:dyDescent="0.35">
      <c r="D32801" s="23">
        <v>11</v>
      </c>
    </row>
    <row r="32802" spans="4:4" x14ac:dyDescent="0.35">
      <c r="D32802" s="23">
        <f>D32799*D32801</f>
        <v>5940</v>
      </c>
    </row>
    <row r="32803" spans="4:4" x14ac:dyDescent="0.35">
      <c r="D32803" s="24">
        <f>D32795+D32796</f>
        <v>35250</v>
      </c>
    </row>
    <row r="32804" spans="4:4" x14ac:dyDescent="0.35">
      <c r="D32804" s="25">
        <f xml:space="preserve"> D32778*(D32769+D32780+D32781+D32802)+ (1-D32778)*(D32802+D32769+D32780)</f>
        <v>6340</v>
      </c>
    </row>
    <row r="32805" spans="4:4" x14ac:dyDescent="0.35">
      <c r="D32805" s="26">
        <f>D32803-D32804</f>
        <v>28910</v>
      </c>
    </row>
    <row r="32806" spans="4:4" x14ac:dyDescent="0.35">
      <c r="D32806" s="27">
        <f>D32803/D32804%</f>
        <v>555.99369085173498</v>
      </c>
    </row>
    <row r="32807" spans="4:4" x14ac:dyDescent="0.35">
      <c r="D32807" s="28">
        <v>15</v>
      </c>
    </row>
    <row r="49151" spans="4:4" x14ac:dyDescent="0.35">
      <c r="D49151" s="9">
        <v>1</v>
      </c>
    </row>
    <row r="49152" spans="4:4" ht="15.5" x14ac:dyDescent="0.35">
      <c r="D49152" s="10" t="s">
        <v>52</v>
      </c>
    </row>
    <row r="49153" spans="4:4" x14ac:dyDescent="0.35">
      <c r="D49153" s="49">
        <f>D49154*O49154</f>
        <v>0</v>
      </c>
    </row>
    <row r="49154" spans="4:4" x14ac:dyDescent="0.35">
      <c r="D49154" s="11">
        <v>300</v>
      </c>
    </row>
    <row r="49155" spans="4:4" x14ac:dyDescent="0.35">
      <c r="D49155" s="12">
        <v>299.88</v>
      </c>
    </row>
    <row r="49156" spans="4:4" x14ac:dyDescent="0.35">
      <c r="D49156" s="13" t="s">
        <v>53</v>
      </c>
    </row>
    <row r="49157" spans="4:4" x14ac:dyDescent="0.35">
      <c r="D49157" s="11" t="s">
        <v>108</v>
      </c>
    </row>
    <row r="49158" spans="4:4" x14ac:dyDescent="0.35">
      <c r="D49158" s="13" t="s">
        <v>109</v>
      </c>
    </row>
    <row r="49159" spans="4:4" x14ac:dyDescent="0.35">
      <c r="D49159" s="13">
        <v>1</v>
      </c>
    </row>
    <row r="49160" spans="4:4" x14ac:dyDescent="0.35">
      <c r="D49160" s="13">
        <v>10000</v>
      </c>
    </row>
    <row r="49161" spans="4:4" x14ac:dyDescent="0.35">
      <c r="D49161" s="14">
        <v>0.3</v>
      </c>
    </row>
    <row r="49162" spans="4:4" x14ac:dyDescent="0.35">
      <c r="D49162" s="15">
        <v>0.4</v>
      </c>
    </row>
    <row r="49163" spans="4:4" x14ac:dyDescent="0.35">
      <c r="D49163" s="11">
        <v>4</v>
      </c>
    </row>
    <row r="49164" spans="4:4" x14ac:dyDescent="0.35">
      <c r="D49164" s="11">
        <f>D49163*30</f>
        <v>120</v>
      </c>
    </row>
    <row r="49165" spans="4:4" x14ac:dyDescent="0.35">
      <c r="D49165" s="11">
        <f>D49166*70</f>
        <v>700</v>
      </c>
    </row>
    <row r="49166" spans="4:4" x14ac:dyDescent="0.35">
      <c r="D49166" s="11">
        <v>10</v>
      </c>
    </row>
    <row r="49167" spans="4:4" x14ac:dyDescent="0.35">
      <c r="D49167" s="16" t="s">
        <v>54</v>
      </c>
    </row>
    <row r="49168" spans="4:4" x14ac:dyDescent="0.35">
      <c r="D49168" s="16">
        <v>10</v>
      </c>
    </row>
    <row r="49169" spans="4:4" x14ac:dyDescent="0.35">
      <c r="D49169" s="16" t="s">
        <v>55</v>
      </c>
    </row>
    <row r="49170" spans="4:4" x14ac:dyDescent="0.35">
      <c r="D49170" s="16">
        <v>50</v>
      </c>
    </row>
    <row r="49171" spans="4:4" x14ac:dyDescent="0.35">
      <c r="D49171" s="16">
        <v>7</v>
      </c>
    </row>
    <row r="49172" spans="4:4" x14ac:dyDescent="0.35">
      <c r="D49172" s="17">
        <f>ROUNDDOWN(D49174/D49171,0)</f>
        <v>38</v>
      </c>
    </row>
    <row r="49173" spans="4:4" x14ac:dyDescent="0.35">
      <c r="D49173" s="18">
        <v>9</v>
      </c>
    </row>
    <row r="49174" spans="4:4" x14ac:dyDescent="0.35">
      <c r="D49174" s="18">
        <f>D49173*30</f>
        <v>270</v>
      </c>
    </row>
    <row r="49175" spans="4:4" x14ac:dyDescent="0.35">
      <c r="D49175" s="19">
        <f>38*D49168</f>
        <v>380</v>
      </c>
    </row>
    <row r="49176" spans="4:4" x14ac:dyDescent="0.35">
      <c r="D49176" s="20">
        <v>50</v>
      </c>
    </row>
    <row r="49177" spans="4:4" x14ac:dyDescent="0.35">
      <c r="D49177" s="19">
        <v>50</v>
      </c>
    </row>
    <row r="49178" spans="4:4" x14ac:dyDescent="0.35">
      <c r="D49178" s="19">
        <v>325</v>
      </c>
    </row>
    <row r="49179" spans="4:4" x14ac:dyDescent="0.35">
      <c r="D49179" s="21">
        <f>D49175*D49176</f>
        <v>19000</v>
      </c>
    </row>
    <row r="49180" spans="4:4" x14ac:dyDescent="0.35">
      <c r="D49180" s="21">
        <f>D49177*D49178</f>
        <v>16250</v>
      </c>
    </row>
    <row r="49181" spans="4:4" x14ac:dyDescent="0.35">
      <c r="D49181" s="22">
        <v>1.3142499999999999</v>
      </c>
    </row>
    <row r="49182" spans="4:4" x14ac:dyDescent="0.35">
      <c r="D49182" s="23">
        <f>ROUNDDOWN(D49173*30/D49159,0)</f>
        <v>270</v>
      </c>
    </row>
    <row r="49183" spans="4:4" x14ac:dyDescent="0.35">
      <c r="D49183" s="23">
        <f>D49182*2</f>
        <v>540</v>
      </c>
    </row>
    <row r="49184" spans="4:4" x14ac:dyDescent="0.35">
      <c r="D49184" s="23" t="s">
        <v>56</v>
      </c>
    </row>
    <row r="49185" spans="4:4" x14ac:dyDescent="0.35">
      <c r="D49185" s="23">
        <v>11</v>
      </c>
    </row>
    <row r="49186" spans="4:4" x14ac:dyDescent="0.35">
      <c r="D49186" s="23">
        <f>D49183*D49185</f>
        <v>5940</v>
      </c>
    </row>
    <row r="49187" spans="4:4" x14ac:dyDescent="0.35">
      <c r="D49187" s="24">
        <f>D49179+D49180</f>
        <v>35250</v>
      </c>
    </row>
    <row r="49188" spans="4:4" x14ac:dyDescent="0.35">
      <c r="D49188" s="25">
        <f xml:space="preserve"> D49162*(D49153+D49164+D49165+D49186)+ (1-D49162)*(D49186+D49153+D49164)</f>
        <v>6340</v>
      </c>
    </row>
    <row r="49189" spans="4:4" x14ac:dyDescent="0.35">
      <c r="D49189" s="26">
        <f>D49187-D49188</f>
        <v>28910</v>
      </c>
    </row>
    <row r="49190" spans="4:4" x14ac:dyDescent="0.35">
      <c r="D49190" s="27">
        <f>D49187/D49188%</f>
        <v>555.99369085173498</v>
      </c>
    </row>
    <row r="49191" spans="4:4" x14ac:dyDescent="0.35">
      <c r="D49191" s="28">
        <v>15</v>
      </c>
    </row>
    <row r="65535" spans="4:4" x14ac:dyDescent="0.35">
      <c r="D65535" s="9">
        <v>1</v>
      </c>
    </row>
    <row r="65536" spans="4:4" ht="15.5" x14ac:dyDescent="0.35">
      <c r="D65536" s="10" t="s">
        <v>52</v>
      </c>
    </row>
    <row r="65537" spans="4:4" x14ac:dyDescent="0.35">
      <c r="D65537" s="49">
        <f>D65538*O65538</f>
        <v>0</v>
      </c>
    </row>
    <row r="65538" spans="4:4" x14ac:dyDescent="0.35">
      <c r="D65538" s="11">
        <v>300</v>
      </c>
    </row>
    <row r="65539" spans="4:4" x14ac:dyDescent="0.35">
      <c r="D65539" s="12">
        <v>299.88</v>
      </c>
    </row>
    <row r="65540" spans="4:4" x14ac:dyDescent="0.35">
      <c r="D65540" s="13" t="s">
        <v>53</v>
      </c>
    </row>
    <row r="65541" spans="4:4" x14ac:dyDescent="0.35">
      <c r="D65541" s="11" t="s">
        <v>108</v>
      </c>
    </row>
    <row r="65542" spans="4:4" x14ac:dyDescent="0.35">
      <c r="D65542" s="13" t="s">
        <v>109</v>
      </c>
    </row>
    <row r="65543" spans="4:4" x14ac:dyDescent="0.35">
      <c r="D65543" s="13">
        <v>1</v>
      </c>
    </row>
    <row r="65544" spans="4:4" x14ac:dyDescent="0.35">
      <c r="D65544" s="13">
        <v>10000</v>
      </c>
    </row>
    <row r="65545" spans="4:4" x14ac:dyDescent="0.35">
      <c r="D65545" s="14">
        <v>0.3</v>
      </c>
    </row>
    <row r="65546" spans="4:4" x14ac:dyDescent="0.35">
      <c r="D65546" s="15">
        <v>0.4</v>
      </c>
    </row>
    <row r="65547" spans="4:4" x14ac:dyDescent="0.35">
      <c r="D65547" s="11">
        <v>4</v>
      </c>
    </row>
    <row r="65548" spans="4:4" x14ac:dyDescent="0.35">
      <c r="D65548" s="11">
        <f>D65547*30</f>
        <v>120</v>
      </c>
    </row>
    <row r="65549" spans="4:4" x14ac:dyDescent="0.35">
      <c r="D65549" s="11">
        <f>D65550*70</f>
        <v>700</v>
      </c>
    </row>
    <row r="65550" spans="4:4" x14ac:dyDescent="0.35">
      <c r="D65550" s="11">
        <v>10</v>
      </c>
    </row>
    <row r="65551" spans="4:4" x14ac:dyDescent="0.35">
      <c r="D65551" s="16" t="s">
        <v>54</v>
      </c>
    </row>
    <row r="65552" spans="4:4" x14ac:dyDescent="0.35">
      <c r="D65552" s="16">
        <v>10</v>
      </c>
    </row>
    <row r="65553" spans="4:4" x14ac:dyDescent="0.35">
      <c r="D65553" s="16" t="s">
        <v>55</v>
      </c>
    </row>
    <row r="65554" spans="4:4" x14ac:dyDescent="0.35">
      <c r="D65554" s="16">
        <v>50</v>
      </c>
    </row>
    <row r="65555" spans="4:4" x14ac:dyDescent="0.35">
      <c r="D65555" s="16">
        <v>7</v>
      </c>
    </row>
    <row r="65556" spans="4:4" x14ac:dyDescent="0.35">
      <c r="D65556" s="17">
        <f>ROUNDDOWN(D65558/D65555,0)</f>
        <v>38</v>
      </c>
    </row>
    <row r="65557" spans="4:4" x14ac:dyDescent="0.35">
      <c r="D65557" s="18">
        <v>9</v>
      </c>
    </row>
    <row r="65558" spans="4:4" x14ac:dyDescent="0.35">
      <c r="D65558" s="18">
        <f>D65557*30</f>
        <v>270</v>
      </c>
    </row>
    <row r="65559" spans="4:4" x14ac:dyDescent="0.35">
      <c r="D65559" s="19">
        <f>38*D65552</f>
        <v>380</v>
      </c>
    </row>
    <row r="65560" spans="4:4" x14ac:dyDescent="0.35">
      <c r="D65560" s="20">
        <v>50</v>
      </c>
    </row>
    <row r="65561" spans="4:4" x14ac:dyDescent="0.35">
      <c r="D65561" s="19">
        <v>50</v>
      </c>
    </row>
    <row r="65562" spans="4:4" x14ac:dyDescent="0.35">
      <c r="D65562" s="19">
        <v>325</v>
      </c>
    </row>
    <row r="65563" spans="4:4" x14ac:dyDescent="0.35">
      <c r="D65563" s="21">
        <f>D65559*D65560</f>
        <v>19000</v>
      </c>
    </row>
    <row r="65564" spans="4:4" x14ac:dyDescent="0.35">
      <c r="D65564" s="21">
        <f>D65561*D65562</f>
        <v>16250</v>
      </c>
    </row>
    <row r="65565" spans="4:4" x14ac:dyDescent="0.35">
      <c r="D65565" s="22">
        <v>1.3142499999999999</v>
      </c>
    </row>
    <row r="65566" spans="4:4" x14ac:dyDescent="0.35">
      <c r="D65566" s="23">
        <f>ROUNDDOWN(D65557*30/D65543,0)</f>
        <v>270</v>
      </c>
    </row>
    <row r="65567" spans="4:4" x14ac:dyDescent="0.35">
      <c r="D65567" s="23">
        <f>D65566*2</f>
        <v>540</v>
      </c>
    </row>
    <row r="65568" spans="4:4" x14ac:dyDescent="0.35">
      <c r="D65568" s="23" t="s">
        <v>56</v>
      </c>
    </row>
    <row r="65569" spans="4:4" x14ac:dyDescent="0.35">
      <c r="D65569" s="23">
        <v>11</v>
      </c>
    </row>
    <row r="65570" spans="4:4" x14ac:dyDescent="0.35">
      <c r="D65570" s="23">
        <f>D65567*D65569</f>
        <v>5940</v>
      </c>
    </row>
    <row r="65571" spans="4:4" x14ac:dyDescent="0.35">
      <c r="D65571" s="24">
        <f>D65563+D65564</f>
        <v>35250</v>
      </c>
    </row>
    <row r="65572" spans="4:4" x14ac:dyDescent="0.35">
      <c r="D65572" s="25">
        <f xml:space="preserve"> D65546*(D65537+D65548+D65549+D65570)+ (1-D65546)*(D65570+D65537+D65548)</f>
        <v>6340</v>
      </c>
    </row>
    <row r="65573" spans="4:4" x14ac:dyDescent="0.35">
      <c r="D65573" s="26">
        <f>D65571-D65572</f>
        <v>28910</v>
      </c>
    </row>
    <row r="65574" spans="4:4" x14ac:dyDescent="0.35">
      <c r="D65574" s="27">
        <f>D65571/D65572%</f>
        <v>555.99369085173498</v>
      </c>
    </row>
    <row r="65575" spans="4:4" x14ac:dyDescent="0.35">
      <c r="D65575" s="28">
        <v>15</v>
      </c>
    </row>
    <row r="81919" spans="4:4" x14ac:dyDescent="0.35">
      <c r="D81919" s="9">
        <v>1</v>
      </c>
    </row>
    <row r="81920" spans="4:4" ht="15.5" x14ac:dyDescent="0.35">
      <c r="D81920" s="10" t="s">
        <v>52</v>
      </c>
    </row>
    <row r="81921" spans="4:4" x14ac:dyDescent="0.35">
      <c r="D81921" s="49">
        <f>D81922*O81922</f>
        <v>0</v>
      </c>
    </row>
    <row r="81922" spans="4:4" x14ac:dyDescent="0.35">
      <c r="D81922" s="11">
        <v>300</v>
      </c>
    </row>
    <row r="81923" spans="4:4" x14ac:dyDescent="0.35">
      <c r="D81923" s="12">
        <v>299.88</v>
      </c>
    </row>
    <row r="81924" spans="4:4" x14ac:dyDescent="0.35">
      <c r="D81924" s="13" t="s">
        <v>53</v>
      </c>
    </row>
    <row r="81925" spans="4:4" x14ac:dyDescent="0.35">
      <c r="D81925" s="11" t="s">
        <v>108</v>
      </c>
    </row>
    <row r="81926" spans="4:4" x14ac:dyDescent="0.35">
      <c r="D81926" s="13" t="s">
        <v>109</v>
      </c>
    </row>
    <row r="81927" spans="4:4" x14ac:dyDescent="0.35">
      <c r="D81927" s="13">
        <v>1</v>
      </c>
    </row>
    <row r="81928" spans="4:4" x14ac:dyDescent="0.35">
      <c r="D81928" s="13">
        <v>10000</v>
      </c>
    </row>
    <row r="81929" spans="4:4" x14ac:dyDescent="0.35">
      <c r="D81929" s="14">
        <v>0.3</v>
      </c>
    </row>
    <row r="81930" spans="4:4" x14ac:dyDescent="0.35">
      <c r="D81930" s="15">
        <v>0.4</v>
      </c>
    </row>
    <row r="81931" spans="4:4" x14ac:dyDescent="0.35">
      <c r="D81931" s="11">
        <v>4</v>
      </c>
    </row>
    <row r="81932" spans="4:4" x14ac:dyDescent="0.35">
      <c r="D81932" s="11">
        <f>D81931*30</f>
        <v>120</v>
      </c>
    </row>
    <row r="81933" spans="4:4" x14ac:dyDescent="0.35">
      <c r="D81933" s="11">
        <f>D81934*70</f>
        <v>700</v>
      </c>
    </row>
    <row r="81934" spans="4:4" x14ac:dyDescent="0.35">
      <c r="D81934" s="11">
        <v>10</v>
      </c>
    </row>
    <row r="81935" spans="4:4" x14ac:dyDescent="0.35">
      <c r="D81935" s="16" t="s">
        <v>54</v>
      </c>
    </row>
    <row r="81936" spans="4:4" x14ac:dyDescent="0.35">
      <c r="D81936" s="16">
        <v>10</v>
      </c>
    </row>
    <row r="81937" spans="4:4" x14ac:dyDescent="0.35">
      <c r="D81937" s="16" t="s">
        <v>55</v>
      </c>
    </row>
    <row r="81938" spans="4:4" x14ac:dyDescent="0.35">
      <c r="D81938" s="16">
        <v>50</v>
      </c>
    </row>
    <row r="81939" spans="4:4" x14ac:dyDescent="0.35">
      <c r="D81939" s="16">
        <v>7</v>
      </c>
    </row>
    <row r="81940" spans="4:4" x14ac:dyDescent="0.35">
      <c r="D81940" s="17">
        <f>ROUNDDOWN(D81942/D81939,0)</f>
        <v>38</v>
      </c>
    </row>
    <row r="81941" spans="4:4" x14ac:dyDescent="0.35">
      <c r="D81941" s="18">
        <v>9</v>
      </c>
    </row>
    <row r="81942" spans="4:4" x14ac:dyDescent="0.35">
      <c r="D81942" s="18">
        <f>D81941*30</f>
        <v>270</v>
      </c>
    </row>
    <row r="81943" spans="4:4" x14ac:dyDescent="0.35">
      <c r="D81943" s="19">
        <f>38*D81936</f>
        <v>380</v>
      </c>
    </row>
    <row r="81944" spans="4:4" x14ac:dyDescent="0.35">
      <c r="D81944" s="20">
        <v>50</v>
      </c>
    </row>
    <row r="81945" spans="4:4" x14ac:dyDescent="0.35">
      <c r="D81945" s="19">
        <v>50</v>
      </c>
    </row>
    <row r="81946" spans="4:4" x14ac:dyDescent="0.35">
      <c r="D81946" s="19">
        <v>325</v>
      </c>
    </row>
    <row r="81947" spans="4:4" x14ac:dyDescent="0.35">
      <c r="D81947" s="21">
        <f>D81943*D81944</f>
        <v>19000</v>
      </c>
    </row>
    <row r="81948" spans="4:4" x14ac:dyDescent="0.35">
      <c r="D81948" s="21">
        <f>D81945*D81946</f>
        <v>16250</v>
      </c>
    </row>
    <row r="81949" spans="4:4" x14ac:dyDescent="0.35">
      <c r="D81949" s="22">
        <v>1.3142499999999999</v>
      </c>
    </row>
    <row r="81950" spans="4:4" x14ac:dyDescent="0.35">
      <c r="D81950" s="23">
        <f>ROUNDDOWN(D81941*30/D81927,0)</f>
        <v>270</v>
      </c>
    </row>
    <row r="81951" spans="4:4" x14ac:dyDescent="0.35">
      <c r="D81951" s="23">
        <f>D81950*2</f>
        <v>540</v>
      </c>
    </row>
    <row r="81952" spans="4:4" x14ac:dyDescent="0.35">
      <c r="D81952" s="23" t="s">
        <v>56</v>
      </c>
    </row>
    <row r="81953" spans="4:4" x14ac:dyDescent="0.35">
      <c r="D81953" s="23">
        <v>11</v>
      </c>
    </row>
    <row r="81954" spans="4:4" x14ac:dyDescent="0.35">
      <c r="D81954" s="23">
        <f>D81951*D81953</f>
        <v>5940</v>
      </c>
    </row>
    <row r="81955" spans="4:4" x14ac:dyDescent="0.35">
      <c r="D81955" s="24">
        <f>D81947+D81948</f>
        <v>35250</v>
      </c>
    </row>
    <row r="81956" spans="4:4" x14ac:dyDescent="0.35">
      <c r="D81956" s="25">
        <f xml:space="preserve"> D81930*(D81921+D81932+D81933+D81954)+ (1-D81930)*(D81954+D81921+D81932)</f>
        <v>6340</v>
      </c>
    </row>
    <row r="81957" spans="4:4" x14ac:dyDescent="0.35">
      <c r="D81957" s="26">
        <f>D81955-D81956</f>
        <v>28910</v>
      </c>
    </row>
    <row r="81958" spans="4:4" x14ac:dyDescent="0.35">
      <c r="D81958" s="27">
        <f>D81955/D81956%</f>
        <v>555.99369085173498</v>
      </c>
    </row>
    <row r="81959" spans="4:4" x14ac:dyDescent="0.35">
      <c r="D81959" s="28">
        <v>15</v>
      </c>
    </row>
    <row r="98303" spans="4:4" x14ac:dyDescent="0.35">
      <c r="D98303" s="9">
        <v>1</v>
      </c>
    </row>
    <row r="98304" spans="4:4" ht="15.5" x14ac:dyDescent="0.35">
      <c r="D98304" s="10" t="s">
        <v>52</v>
      </c>
    </row>
    <row r="98305" spans="4:4" x14ac:dyDescent="0.35">
      <c r="D98305" s="49">
        <f>D98306*O98306</f>
        <v>0</v>
      </c>
    </row>
    <row r="98306" spans="4:4" x14ac:dyDescent="0.35">
      <c r="D98306" s="11">
        <v>300</v>
      </c>
    </row>
    <row r="98307" spans="4:4" x14ac:dyDescent="0.35">
      <c r="D98307" s="12">
        <v>299.88</v>
      </c>
    </row>
    <row r="98308" spans="4:4" x14ac:dyDescent="0.35">
      <c r="D98308" s="13" t="s">
        <v>53</v>
      </c>
    </row>
    <row r="98309" spans="4:4" x14ac:dyDescent="0.35">
      <c r="D98309" s="11" t="s">
        <v>108</v>
      </c>
    </row>
    <row r="98310" spans="4:4" x14ac:dyDescent="0.35">
      <c r="D98310" s="13" t="s">
        <v>109</v>
      </c>
    </row>
    <row r="98311" spans="4:4" x14ac:dyDescent="0.35">
      <c r="D98311" s="13">
        <v>1</v>
      </c>
    </row>
    <row r="98312" spans="4:4" x14ac:dyDescent="0.35">
      <c r="D98312" s="13">
        <v>10000</v>
      </c>
    </row>
    <row r="98313" spans="4:4" x14ac:dyDescent="0.35">
      <c r="D98313" s="14">
        <v>0.3</v>
      </c>
    </row>
    <row r="98314" spans="4:4" x14ac:dyDescent="0.35">
      <c r="D98314" s="15">
        <v>0.4</v>
      </c>
    </row>
    <row r="98315" spans="4:4" x14ac:dyDescent="0.35">
      <c r="D98315" s="11">
        <v>4</v>
      </c>
    </row>
    <row r="98316" spans="4:4" x14ac:dyDescent="0.35">
      <c r="D98316" s="11">
        <f>D98315*30</f>
        <v>120</v>
      </c>
    </row>
    <row r="98317" spans="4:4" x14ac:dyDescent="0.35">
      <c r="D98317" s="11">
        <f>D98318*70</f>
        <v>700</v>
      </c>
    </row>
    <row r="98318" spans="4:4" x14ac:dyDescent="0.35">
      <c r="D98318" s="11">
        <v>10</v>
      </c>
    </row>
    <row r="98319" spans="4:4" x14ac:dyDescent="0.35">
      <c r="D98319" s="16" t="s">
        <v>54</v>
      </c>
    </row>
    <row r="98320" spans="4:4" x14ac:dyDescent="0.35">
      <c r="D98320" s="16">
        <v>10</v>
      </c>
    </row>
    <row r="98321" spans="4:4" x14ac:dyDescent="0.35">
      <c r="D98321" s="16" t="s">
        <v>55</v>
      </c>
    </row>
    <row r="98322" spans="4:4" x14ac:dyDescent="0.35">
      <c r="D98322" s="16">
        <v>50</v>
      </c>
    </row>
    <row r="98323" spans="4:4" x14ac:dyDescent="0.35">
      <c r="D98323" s="16">
        <v>7</v>
      </c>
    </row>
    <row r="98324" spans="4:4" x14ac:dyDescent="0.35">
      <c r="D98324" s="17">
        <f>ROUNDDOWN(D98326/D98323,0)</f>
        <v>38</v>
      </c>
    </row>
    <row r="98325" spans="4:4" x14ac:dyDescent="0.35">
      <c r="D98325" s="18">
        <v>9</v>
      </c>
    </row>
    <row r="98326" spans="4:4" x14ac:dyDescent="0.35">
      <c r="D98326" s="18">
        <f>D98325*30</f>
        <v>270</v>
      </c>
    </row>
    <row r="98327" spans="4:4" x14ac:dyDescent="0.35">
      <c r="D98327" s="19">
        <f>38*D98320</f>
        <v>380</v>
      </c>
    </row>
    <row r="98328" spans="4:4" x14ac:dyDescent="0.35">
      <c r="D98328" s="20">
        <v>50</v>
      </c>
    </row>
    <row r="98329" spans="4:4" x14ac:dyDescent="0.35">
      <c r="D98329" s="19">
        <v>50</v>
      </c>
    </row>
    <row r="98330" spans="4:4" x14ac:dyDescent="0.35">
      <c r="D98330" s="19">
        <v>325</v>
      </c>
    </row>
    <row r="98331" spans="4:4" x14ac:dyDescent="0.35">
      <c r="D98331" s="21">
        <f>D98327*D98328</f>
        <v>19000</v>
      </c>
    </row>
    <row r="98332" spans="4:4" x14ac:dyDescent="0.35">
      <c r="D98332" s="21">
        <f>D98329*D98330</f>
        <v>16250</v>
      </c>
    </row>
    <row r="98333" spans="4:4" x14ac:dyDescent="0.35">
      <c r="D98333" s="22">
        <v>1.3142499999999999</v>
      </c>
    </row>
    <row r="98334" spans="4:4" x14ac:dyDescent="0.35">
      <c r="D98334" s="23">
        <f>ROUNDDOWN(D98325*30/D98311,0)</f>
        <v>270</v>
      </c>
    </row>
    <row r="98335" spans="4:4" x14ac:dyDescent="0.35">
      <c r="D98335" s="23">
        <f>D98334*2</f>
        <v>540</v>
      </c>
    </row>
    <row r="98336" spans="4:4" x14ac:dyDescent="0.35">
      <c r="D98336" s="23" t="s">
        <v>56</v>
      </c>
    </row>
    <row r="98337" spans="4:4" x14ac:dyDescent="0.35">
      <c r="D98337" s="23">
        <v>11</v>
      </c>
    </row>
    <row r="98338" spans="4:4" x14ac:dyDescent="0.35">
      <c r="D98338" s="23">
        <f>D98335*D98337</f>
        <v>5940</v>
      </c>
    </row>
    <row r="98339" spans="4:4" x14ac:dyDescent="0.35">
      <c r="D98339" s="24">
        <f>D98331+D98332</f>
        <v>35250</v>
      </c>
    </row>
    <row r="98340" spans="4:4" x14ac:dyDescent="0.35">
      <c r="D98340" s="25">
        <f xml:space="preserve"> D98314*(D98305+D98316+D98317+D98338)+ (1-D98314)*(D98338+D98305+D98316)</f>
        <v>6340</v>
      </c>
    </row>
    <row r="98341" spans="4:4" x14ac:dyDescent="0.35">
      <c r="D98341" s="26">
        <f>D98339-D98340</f>
        <v>28910</v>
      </c>
    </row>
    <row r="98342" spans="4:4" x14ac:dyDescent="0.35">
      <c r="D98342" s="27">
        <f>D98339/D98340%</f>
        <v>555.99369085173498</v>
      </c>
    </row>
    <row r="98343" spans="4:4" x14ac:dyDescent="0.35">
      <c r="D98343" s="28">
        <v>15</v>
      </c>
    </row>
    <row r="114687" spans="4:4" x14ac:dyDescent="0.35">
      <c r="D114687" s="9">
        <v>1</v>
      </c>
    </row>
    <row r="114688" spans="4:4" ht="15.5" x14ac:dyDescent="0.35">
      <c r="D114688" s="10" t="s">
        <v>52</v>
      </c>
    </row>
    <row r="114689" spans="4:4" x14ac:dyDescent="0.35">
      <c r="D114689" s="49">
        <f>D114690*O114690</f>
        <v>0</v>
      </c>
    </row>
    <row r="114690" spans="4:4" x14ac:dyDescent="0.35">
      <c r="D114690" s="11">
        <v>300</v>
      </c>
    </row>
    <row r="114691" spans="4:4" x14ac:dyDescent="0.35">
      <c r="D114691" s="12">
        <v>299.88</v>
      </c>
    </row>
    <row r="114692" spans="4:4" x14ac:dyDescent="0.35">
      <c r="D114692" s="13" t="s">
        <v>53</v>
      </c>
    </row>
    <row r="114693" spans="4:4" x14ac:dyDescent="0.35">
      <c r="D114693" s="11" t="s">
        <v>108</v>
      </c>
    </row>
    <row r="114694" spans="4:4" x14ac:dyDescent="0.35">
      <c r="D114694" s="13" t="s">
        <v>109</v>
      </c>
    </row>
    <row r="114695" spans="4:4" x14ac:dyDescent="0.35">
      <c r="D114695" s="13">
        <v>1</v>
      </c>
    </row>
    <row r="114696" spans="4:4" x14ac:dyDescent="0.35">
      <c r="D114696" s="13">
        <v>10000</v>
      </c>
    </row>
    <row r="114697" spans="4:4" x14ac:dyDescent="0.35">
      <c r="D114697" s="14">
        <v>0.3</v>
      </c>
    </row>
    <row r="114698" spans="4:4" x14ac:dyDescent="0.35">
      <c r="D114698" s="15">
        <v>0.4</v>
      </c>
    </row>
    <row r="114699" spans="4:4" x14ac:dyDescent="0.35">
      <c r="D114699" s="11">
        <v>4</v>
      </c>
    </row>
    <row r="114700" spans="4:4" x14ac:dyDescent="0.35">
      <c r="D114700" s="11">
        <f>D114699*30</f>
        <v>120</v>
      </c>
    </row>
    <row r="114701" spans="4:4" x14ac:dyDescent="0.35">
      <c r="D114701" s="11">
        <f>D114702*70</f>
        <v>700</v>
      </c>
    </row>
    <row r="114702" spans="4:4" x14ac:dyDescent="0.35">
      <c r="D114702" s="11">
        <v>10</v>
      </c>
    </row>
    <row r="114703" spans="4:4" x14ac:dyDescent="0.35">
      <c r="D114703" s="16" t="s">
        <v>54</v>
      </c>
    </row>
    <row r="114704" spans="4:4" x14ac:dyDescent="0.35">
      <c r="D114704" s="16">
        <v>10</v>
      </c>
    </row>
    <row r="114705" spans="4:4" x14ac:dyDescent="0.35">
      <c r="D114705" s="16" t="s">
        <v>55</v>
      </c>
    </row>
    <row r="114706" spans="4:4" x14ac:dyDescent="0.35">
      <c r="D114706" s="16">
        <v>50</v>
      </c>
    </row>
    <row r="114707" spans="4:4" x14ac:dyDescent="0.35">
      <c r="D114707" s="16">
        <v>7</v>
      </c>
    </row>
    <row r="114708" spans="4:4" x14ac:dyDescent="0.35">
      <c r="D114708" s="17">
        <f>ROUNDDOWN(D114710/D114707,0)</f>
        <v>38</v>
      </c>
    </row>
    <row r="114709" spans="4:4" x14ac:dyDescent="0.35">
      <c r="D114709" s="18">
        <v>9</v>
      </c>
    </row>
    <row r="114710" spans="4:4" x14ac:dyDescent="0.35">
      <c r="D114710" s="18">
        <f>D114709*30</f>
        <v>270</v>
      </c>
    </row>
    <row r="114711" spans="4:4" x14ac:dyDescent="0.35">
      <c r="D114711" s="19">
        <f>38*D114704</f>
        <v>380</v>
      </c>
    </row>
    <row r="114712" spans="4:4" x14ac:dyDescent="0.35">
      <c r="D114712" s="20">
        <v>50</v>
      </c>
    </row>
    <row r="114713" spans="4:4" x14ac:dyDescent="0.35">
      <c r="D114713" s="19">
        <v>50</v>
      </c>
    </row>
    <row r="114714" spans="4:4" x14ac:dyDescent="0.35">
      <c r="D114714" s="19">
        <v>325</v>
      </c>
    </row>
    <row r="114715" spans="4:4" x14ac:dyDescent="0.35">
      <c r="D114715" s="21">
        <f>D114711*D114712</f>
        <v>19000</v>
      </c>
    </row>
    <row r="114716" spans="4:4" x14ac:dyDescent="0.35">
      <c r="D114716" s="21">
        <f>D114713*D114714</f>
        <v>16250</v>
      </c>
    </row>
    <row r="114717" spans="4:4" x14ac:dyDescent="0.35">
      <c r="D114717" s="22">
        <v>1.3142499999999999</v>
      </c>
    </row>
    <row r="114718" spans="4:4" x14ac:dyDescent="0.35">
      <c r="D114718" s="23">
        <f>ROUNDDOWN(D114709*30/D114695,0)</f>
        <v>270</v>
      </c>
    </row>
    <row r="114719" spans="4:4" x14ac:dyDescent="0.35">
      <c r="D114719" s="23">
        <f>D114718*2</f>
        <v>540</v>
      </c>
    </row>
    <row r="114720" spans="4:4" x14ac:dyDescent="0.35">
      <c r="D114720" s="23" t="s">
        <v>56</v>
      </c>
    </row>
    <row r="114721" spans="4:4" x14ac:dyDescent="0.35">
      <c r="D114721" s="23">
        <v>11</v>
      </c>
    </row>
    <row r="114722" spans="4:4" x14ac:dyDescent="0.35">
      <c r="D114722" s="23">
        <f>D114719*D114721</f>
        <v>5940</v>
      </c>
    </row>
    <row r="114723" spans="4:4" x14ac:dyDescent="0.35">
      <c r="D114723" s="24">
        <f>D114715+D114716</f>
        <v>35250</v>
      </c>
    </row>
    <row r="114724" spans="4:4" x14ac:dyDescent="0.35">
      <c r="D114724" s="25">
        <f xml:space="preserve"> D114698*(D114689+D114700+D114701+D114722)+ (1-D114698)*(D114722+D114689+D114700)</f>
        <v>6340</v>
      </c>
    </row>
    <row r="114725" spans="4:4" x14ac:dyDescent="0.35">
      <c r="D114725" s="26">
        <f>D114723-D114724</f>
        <v>28910</v>
      </c>
    </row>
    <row r="114726" spans="4:4" x14ac:dyDescent="0.35">
      <c r="D114726" s="27">
        <f>D114723/D114724%</f>
        <v>555.99369085173498</v>
      </c>
    </row>
    <row r="114727" spans="4:4" x14ac:dyDescent="0.35">
      <c r="D114727" s="28">
        <v>15</v>
      </c>
    </row>
    <row r="131071" spans="4:4" x14ac:dyDescent="0.35">
      <c r="D131071" s="9">
        <v>1</v>
      </c>
    </row>
    <row r="131072" spans="4:4" ht="15.5" x14ac:dyDescent="0.35">
      <c r="D131072" s="10" t="s">
        <v>52</v>
      </c>
    </row>
    <row r="131073" spans="4:4" x14ac:dyDescent="0.35">
      <c r="D131073" s="49">
        <f>D131074*O131074</f>
        <v>0</v>
      </c>
    </row>
    <row r="131074" spans="4:4" x14ac:dyDescent="0.35">
      <c r="D131074" s="11">
        <v>300</v>
      </c>
    </row>
    <row r="131075" spans="4:4" x14ac:dyDescent="0.35">
      <c r="D131075" s="12">
        <v>299.88</v>
      </c>
    </row>
    <row r="131076" spans="4:4" x14ac:dyDescent="0.35">
      <c r="D131076" s="13" t="s">
        <v>53</v>
      </c>
    </row>
    <row r="131077" spans="4:4" x14ac:dyDescent="0.35">
      <c r="D131077" s="11" t="s">
        <v>108</v>
      </c>
    </row>
    <row r="131078" spans="4:4" x14ac:dyDescent="0.35">
      <c r="D131078" s="13" t="s">
        <v>109</v>
      </c>
    </row>
    <row r="131079" spans="4:4" x14ac:dyDescent="0.35">
      <c r="D131079" s="13">
        <v>1</v>
      </c>
    </row>
    <row r="131080" spans="4:4" x14ac:dyDescent="0.35">
      <c r="D131080" s="13">
        <v>10000</v>
      </c>
    </row>
    <row r="131081" spans="4:4" x14ac:dyDescent="0.35">
      <c r="D131081" s="14">
        <v>0.3</v>
      </c>
    </row>
    <row r="131082" spans="4:4" x14ac:dyDescent="0.35">
      <c r="D131082" s="15">
        <v>0.4</v>
      </c>
    </row>
    <row r="131083" spans="4:4" x14ac:dyDescent="0.35">
      <c r="D131083" s="11">
        <v>4</v>
      </c>
    </row>
    <row r="131084" spans="4:4" x14ac:dyDescent="0.35">
      <c r="D131084" s="11">
        <f>D131083*30</f>
        <v>120</v>
      </c>
    </row>
    <row r="131085" spans="4:4" x14ac:dyDescent="0.35">
      <c r="D131085" s="11">
        <f>D131086*70</f>
        <v>700</v>
      </c>
    </row>
    <row r="131086" spans="4:4" x14ac:dyDescent="0.35">
      <c r="D131086" s="11">
        <v>10</v>
      </c>
    </row>
    <row r="131087" spans="4:4" x14ac:dyDescent="0.35">
      <c r="D131087" s="16" t="s">
        <v>54</v>
      </c>
    </row>
    <row r="131088" spans="4:4" x14ac:dyDescent="0.35">
      <c r="D131088" s="16">
        <v>10</v>
      </c>
    </row>
    <row r="131089" spans="4:4" x14ac:dyDescent="0.35">
      <c r="D131089" s="16" t="s">
        <v>55</v>
      </c>
    </row>
    <row r="131090" spans="4:4" x14ac:dyDescent="0.35">
      <c r="D131090" s="16">
        <v>50</v>
      </c>
    </row>
    <row r="131091" spans="4:4" x14ac:dyDescent="0.35">
      <c r="D131091" s="16">
        <v>7</v>
      </c>
    </row>
    <row r="131092" spans="4:4" x14ac:dyDescent="0.35">
      <c r="D131092" s="17">
        <f>ROUNDDOWN(D131094/D131091,0)</f>
        <v>38</v>
      </c>
    </row>
    <row r="131093" spans="4:4" x14ac:dyDescent="0.35">
      <c r="D131093" s="18">
        <v>9</v>
      </c>
    </row>
    <row r="131094" spans="4:4" x14ac:dyDescent="0.35">
      <c r="D131094" s="18">
        <f>D131093*30</f>
        <v>270</v>
      </c>
    </row>
    <row r="131095" spans="4:4" x14ac:dyDescent="0.35">
      <c r="D131095" s="19">
        <f>38*D131088</f>
        <v>380</v>
      </c>
    </row>
    <row r="131096" spans="4:4" x14ac:dyDescent="0.35">
      <c r="D131096" s="20">
        <v>50</v>
      </c>
    </row>
    <row r="131097" spans="4:4" x14ac:dyDescent="0.35">
      <c r="D131097" s="19">
        <v>50</v>
      </c>
    </row>
    <row r="131098" spans="4:4" x14ac:dyDescent="0.35">
      <c r="D131098" s="19">
        <v>325</v>
      </c>
    </row>
    <row r="131099" spans="4:4" x14ac:dyDescent="0.35">
      <c r="D131099" s="21">
        <f>D131095*D131096</f>
        <v>19000</v>
      </c>
    </row>
    <row r="131100" spans="4:4" x14ac:dyDescent="0.35">
      <c r="D131100" s="21">
        <f>D131097*D131098</f>
        <v>16250</v>
      </c>
    </row>
    <row r="131101" spans="4:4" x14ac:dyDescent="0.35">
      <c r="D131101" s="22">
        <v>1.3142499999999999</v>
      </c>
    </row>
    <row r="131102" spans="4:4" x14ac:dyDescent="0.35">
      <c r="D131102" s="23">
        <f>ROUNDDOWN(D131093*30/D131079,0)</f>
        <v>270</v>
      </c>
    </row>
    <row r="131103" spans="4:4" x14ac:dyDescent="0.35">
      <c r="D131103" s="23">
        <f>D131102*2</f>
        <v>540</v>
      </c>
    </row>
    <row r="131104" spans="4:4" x14ac:dyDescent="0.35">
      <c r="D131104" s="23" t="s">
        <v>56</v>
      </c>
    </row>
    <row r="131105" spans="4:4" x14ac:dyDescent="0.35">
      <c r="D131105" s="23">
        <v>11</v>
      </c>
    </row>
    <row r="131106" spans="4:4" x14ac:dyDescent="0.35">
      <c r="D131106" s="23">
        <f>D131103*D131105</f>
        <v>5940</v>
      </c>
    </row>
    <row r="131107" spans="4:4" x14ac:dyDescent="0.35">
      <c r="D131107" s="24">
        <f>D131099+D131100</f>
        <v>35250</v>
      </c>
    </row>
    <row r="131108" spans="4:4" x14ac:dyDescent="0.35">
      <c r="D131108" s="25">
        <f xml:space="preserve"> D131082*(D131073+D131084+D131085+D131106)+ (1-D131082)*(D131106+D131073+D131084)</f>
        <v>6340</v>
      </c>
    </row>
    <row r="131109" spans="4:4" x14ac:dyDescent="0.35">
      <c r="D131109" s="26">
        <f>D131107-D131108</f>
        <v>28910</v>
      </c>
    </row>
    <row r="131110" spans="4:4" x14ac:dyDescent="0.35">
      <c r="D131110" s="27">
        <f>D131107/D131108%</f>
        <v>555.99369085173498</v>
      </c>
    </row>
    <row r="131111" spans="4:4" x14ac:dyDescent="0.35">
      <c r="D131111" s="28">
        <v>15</v>
      </c>
    </row>
    <row r="147455" spans="4:4" x14ac:dyDescent="0.35">
      <c r="D147455" s="9">
        <v>1</v>
      </c>
    </row>
    <row r="147456" spans="4:4" ht="15.5" x14ac:dyDescent="0.35">
      <c r="D147456" s="10" t="s">
        <v>52</v>
      </c>
    </row>
    <row r="147457" spans="4:4" x14ac:dyDescent="0.35">
      <c r="D147457" s="49">
        <f>D147458*O147458</f>
        <v>0</v>
      </c>
    </row>
    <row r="147458" spans="4:4" x14ac:dyDescent="0.35">
      <c r="D147458" s="11">
        <v>300</v>
      </c>
    </row>
    <row r="147459" spans="4:4" x14ac:dyDescent="0.35">
      <c r="D147459" s="12">
        <v>299.88</v>
      </c>
    </row>
    <row r="147460" spans="4:4" x14ac:dyDescent="0.35">
      <c r="D147460" s="13" t="s">
        <v>53</v>
      </c>
    </row>
    <row r="147461" spans="4:4" x14ac:dyDescent="0.35">
      <c r="D147461" s="11" t="s">
        <v>108</v>
      </c>
    </row>
    <row r="147462" spans="4:4" x14ac:dyDescent="0.35">
      <c r="D147462" s="13" t="s">
        <v>109</v>
      </c>
    </row>
    <row r="147463" spans="4:4" x14ac:dyDescent="0.35">
      <c r="D147463" s="13">
        <v>1</v>
      </c>
    </row>
    <row r="147464" spans="4:4" x14ac:dyDescent="0.35">
      <c r="D147464" s="13">
        <v>10000</v>
      </c>
    </row>
    <row r="147465" spans="4:4" x14ac:dyDescent="0.35">
      <c r="D147465" s="14">
        <v>0.3</v>
      </c>
    </row>
    <row r="147466" spans="4:4" x14ac:dyDescent="0.35">
      <c r="D147466" s="15">
        <v>0.4</v>
      </c>
    </row>
    <row r="147467" spans="4:4" x14ac:dyDescent="0.35">
      <c r="D147467" s="11">
        <v>4</v>
      </c>
    </row>
    <row r="147468" spans="4:4" x14ac:dyDescent="0.35">
      <c r="D147468" s="11">
        <f>D147467*30</f>
        <v>120</v>
      </c>
    </row>
    <row r="147469" spans="4:4" x14ac:dyDescent="0.35">
      <c r="D147469" s="11">
        <f>D147470*70</f>
        <v>700</v>
      </c>
    </row>
    <row r="147470" spans="4:4" x14ac:dyDescent="0.35">
      <c r="D147470" s="11">
        <v>10</v>
      </c>
    </row>
    <row r="147471" spans="4:4" x14ac:dyDescent="0.35">
      <c r="D147471" s="16" t="s">
        <v>54</v>
      </c>
    </row>
    <row r="147472" spans="4:4" x14ac:dyDescent="0.35">
      <c r="D147472" s="16">
        <v>10</v>
      </c>
    </row>
    <row r="147473" spans="4:4" x14ac:dyDescent="0.35">
      <c r="D147473" s="16" t="s">
        <v>55</v>
      </c>
    </row>
    <row r="147474" spans="4:4" x14ac:dyDescent="0.35">
      <c r="D147474" s="16">
        <v>50</v>
      </c>
    </row>
    <row r="147475" spans="4:4" x14ac:dyDescent="0.35">
      <c r="D147475" s="16">
        <v>7</v>
      </c>
    </row>
    <row r="147476" spans="4:4" x14ac:dyDescent="0.35">
      <c r="D147476" s="17">
        <f>ROUNDDOWN(D147478/D147475,0)</f>
        <v>38</v>
      </c>
    </row>
    <row r="147477" spans="4:4" x14ac:dyDescent="0.35">
      <c r="D147477" s="18">
        <v>9</v>
      </c>
    </row>
    <row r="147478" spans="4:4" x14ac:dyDescent="0.35">
      <c r="D147478" s="18">
        <f>D147477*30</f>
        <v>270</v>
      </c>
    </row>
    <row r="147479" spans="4:4" x14ac:dyDescent="0.35">
      <c r="D147479" s="19">
        <f>38*D147472</f>
        <v>380</v>
      </c>
    </row>
    <row r="147480" spans="4:4" x14ac:dyDescent="0.35">
      <c r="D147480" s="20">
        <v>50</v>
      </c>
    </row>
    <row r="147481" spans="4:4" x14ac:dyDescent="0.35">
      <c r="D147481" s="19">
        <v>50</v>
      </c>
    </row>
    <row r="147482" spans="4:4" x14ac:dyDescent="0.35">
      <c r="D147482" s="19">
        <v>325</v>
      </c>
    </row>
    <row r="147483" spans="4:4" x14ac:dyDescent="0.35">
      <c r="D147483" s="21">
        <f>D147479*D147480</f>
        <v>19000</v>
      </c>
    </row>
    <row r="147484" spans="4:4" x14ac:dyDescent="0.35">
      <c r="D147484" s="21">
        <f>D147481*D147482</f>
        <v>16250</v>
      </c>
    </row>
    <row r="147485" spans="4:4" x14ac:dyDescent="0.35">
      <c r="D147485" s="22">
        <v>1.3142499999999999</v>
      </c>
    </row>
    <row r="147486" spans="4:4" x14ac:dyDescent="0.35">
      <c r="D147486" s="23">
        <f>ROUNDDOWN(D147477*30/D147463,0)</f>
        <v>270</v>
      </c>
    </row>
    <row r="147487" spans="4:4" x14ac:dyDescent="0.35">
      <c r="D147487" s="23">
        <f>D147486*2</f>
        <v>540</v>
      </c>
    </row>
    <row r="147488" spans="4:4" x14ac:dyDescent="0.35">
      <c r="D147488" s="23" t="s">
        <v>56</v>
      </c>
    </row>
    <row r="147489" spans="4:4" x14ac:dyDescent="0.35">
      <c r="D147489" s="23">
        <v>11</v>
      </c>
    </row>
    <row r="147490" spans="4:4" x14ac:dyDescent="0.35">
      <c r="D147490" s="23">
        <f>D147487*D147489</f>
        <v>5940</v>
      </c>
    </row>
    <row r="147491" spans="4:4" x14ac:dyDescent="0.35">
      <c r="D147491" s="24">
        <f>D147483+D147484</f>
        <v>35250</v>
      </c>
    </row>
    <row r="147492" spans="4:4" x14ac:dyDescent="0.35">
      <c r="D147492" s="25">
        <f xml:space="preserve"> D147466*(D147457+D147468+D147469+D147490)+ (1-D147466)*(D147490+D147457+D147468)</f>
        <v>6340</v>
      </c>
    </row>
    <row r="147493" spans="4:4" x14ac:dyDescent="0.35">
      <c r="D147493" s="26">
        <f>D147491-D147492</f>
        <v>28910</v>
      </c>
    </row>
    <row r="147494" spans="4:4" x14ac:dyDescent="0.35">
      <c r="D147494" s="27">
        <f>D147491/D147492%</f>
        <v>555.99369085173498</v>
      </c>
    </row>
    <row r="147495" spans="4:4" x14ac:dyDescent="0.35">
      <c r="D147495" s="28">
        <v>15</v>
      </c>
    </row>
    <row r="163839" spans="4:4" x14ac:dyDescent="0.35">
      <c r="D163839" s="9">
        <v>1</v>
      </c>
    </row>
    <row r="163840" spans="4:4" ht="15.5" x14ac:dyDescent="0.35">
      <c r="D163840" s="10" t="s">
        <v>52</v>
      </c>
    </row>
    <row r="163841" spans="4:4" x14ac:dyDescent="0.35">
      <c r="D163841" s="49">
        <f>D163842*O163842</f>
        <v>0</v>
      </c>
    </row>
    <row r="163842" spans="4:4" x14ac:dyDescent="0.35">
      <c r="D163842" s="11">
        <v>300</v>
      </c>
    </row>
    <row r="163843" spans="4:4" x14ac:dyDescent="0.35">
      <c r="D163843" s="12">
        <v>299.88</v>
      </c>
    </row>
    <row r="163844" spans="4:4" x14ac:dyDescent="0.35">
      <c r="D163844" s="13" t="s">
        <v>53</v>
      </c>
    </row>
    <row r="163845" spans="4:4" x14ac:dyDescent="0.35">
      <c r="D163845" s="11" t="s">
        <v>108</v>
      </c>
    </row>
    <row r="163846" spans="4:4" x14ac:dyDescent="0.35">
      <c r="D163846" s="13" t="s">
        <v>109</v>
      </c>
    </row>
    <row r="163847" spans="4:4" x14ac:dyDescent="0.35">
      <c r="D163847" s="13">
        <v>1</v>
      </c>
    </row>
    <row r="163848" spans="4:4" x14ac:dyDescent="0.35">
      <c r="D163848" s="13">
        <v>10000</v>
      </c>
    </row>
    <row r="163849" spans="4:4" x14ac:dyDescent="0.35">
      <c r="D163849" s="14">
        <v>0.3</v>
      </c>
    </row>
    <row r="163850" spans="4:4" x14ac:dyDescent="0.35">
      <c r="D163850" s="15">
        <v>0.4</v>
      </c>
    </row>
    <row r="163851" spans="4:4" x14ac:dyDescent="0.35">
      <c r="D163851" s="11">
        <v>4</v>
      </c>
    </row>
    <row r="163852" spans="4:4" x14ac:dyDescent="0.35">
      <c r="D163852" s="11">
        <f>D163851*30</f>
        <v>120</v>
      </c>
    </row>
    <row r="163853" spans="4:4" x14ac:dyDescent="0.35">
      <c r="D163853" s="11">
        <f>D163854*70</f>
        <v>700</v>
      </c>
    </row>
    <row r="163854" spans="4:4" x14ac:dyDescent="0.35">
      <c r="D163854" s="11">
        <v>10</v>
      </c>
    </row>
    <row r="163855" spans="4:4" x14ac:dyDescent="0.35">
      <c r="D163855" s="16" t="s">
        <v>54</v>
      </c>
    </row>
    <row r="163856" spans="4:4" x14ac:dyDescent="0.35">
      <c r="D163856" s="16">
        <v>10</v>
      </c>
    </row>
    <row r="163857" spans="4:4" x14ac:dyDescent="0.35">
      <c r="D163857" s="16" t="s">
        <v>55</v>
      </c>
    </row>
    <row r="163858" spans="4:4" x14ac:dyDescent="0.35">
      <c r="D163858" s="16">
        <v>50</v>
      </c>
    </row>
    <row r="163859" spans="4:4" x14ac:dyDescent="0.35">
      <c r="D163859" s="16">
        <v>7</v>
      </c>
    </row>
    <row r="163860" spans="4:4" x14ac:dyDescent="0.35">
      <c r="D163860" s="17">
        <f>ROUNDDOWN(D163862/D163859,0)</f>
        <v>38</v>
      </c>
    </row>
    <row r="163861" spans="4:4" x14ac:dyDescent="0.35">
      <c r="D163861" s="18">
        <v>9</v>
      </c>
    </row>
    <row r="163862" spans="4:4" x14ac:dyDescent="0.35">
      <c r="D163862" s="18">
        <f>D163861*30</f>
        <v>270</v>
      </c>
    </row>
    <row r="163863" spans="4:4" x14ac:dyDescent="0.35">
      <c r="D163863" s="19">
        <f>38*D163856</f>
        <v>380</v>
      </c>
    </row>
    <row r="163864" spans="4:4" x14ac:dyDescent="0.35">
      <c r="D163864" s="20">
        <v>50</v>
      </c>
    </row>
    <row r="163865" spans="4:4" x14ac:dyDescent="0.35">
      <c r="D163865" s="19">
        <v>50</v>
      </c>
    </row>
    <row r="163866" spans="4:4" x14ac:dyDescent="0.35">
      <c r="D163866" s="19">
        <v>325</v>
      </c>
    </row>
    <row r="163867" spans="4:4" x14ac:dyDescent="0.35">
      <c r="D163867" s="21">
        <f>D163863*D163864</f>
        <v>19000</v>
      </c>
    </row>
    <row r="163868" spans="4:4" x14ac:dyDescent="0.35">
      <c r="D163868" s="21">
        <f>D163865*D163866</f>
        <v>16250</v>
      </c>
    </row>
    <row r="163869" spans="4:4" x14ac:dyDescent="0.35">
      <c r="D163869" s="22">
        <v>1.3142499999999999</v>
      </c>
    </row>
    <row r="163870" spans="4:4" x14ac:dyDescent="0.35">
      <c r="D163870" s="23">
        <f>ROUNDDOWN(D163861*30/D163847,0)</f>
        <v>270</v>
      </c>
    </row>
    <row r="163871" spans="4:4" x14ac:dyDescent="0.35">
      <c r="D163871" s="23">
        <f>D163870*2</f>
        <v>540</v>
      </c>
    </row>
    <row r="163872" spans="4:4" x14ac:dyDescent="0.35">
      <c r="D163872" s="23" t="s">
        <v>56</v>
      </c>
    </row>
    <row r="163873" spans="4:4" x14ac:dyDescent="0.35">
      <c r="D163873" s="23">
        <v>11</v>
      </c>
    </row>
    <row r="163874" spans="4:4" x14ac:dyDescent="0.35">
      <c r="D163874" s="23">
        <f>D163871*D163873</f>
        <v>5940</v>
      </c>
    </row>
    <row r="163875" spans="4:4" x14ac:dyDescent="0.35">
      <c r="D163875" s="24">
        <f>D163867+D163868</f>
        <v>35250</v>
      </c>
    </row>
    <row r="163876" spans="4:4" x14ac:dyDescent="0.35">
      <c r="D163876" s="25">
        <f xml:space="preserve"> D163850*(D163841+D163852+D163853+D163874)+ (1-D163850)*(D163874+D163841+D163852)</f>
        <v>6340</v>
      </c>
    </row>
    <row r="163877" spans="4:4" x14ac:dyDescent="0.35">
      <c r="D163877" s="26">
        <f>D163875-D163876</f>
        <v>28910</v>
      </c>
    </row>
    <row r="163878" spans="4:4" x14ac:dyDescent="0.35">
      <c r="D163878" s="27">
        <f>D163875/D163876%</f>
        <v>555.99369085173498</v>
      </c>
    </row>
    <row r="163879" spans="4:4" x14ac:dyDescent="0.35">
      <c r="D163879" s="28">
        <v>15</v>
      </c>
    </row>
    <row r="180223" spans="4:4" x14ac:dyDescent="0.35">
      <c r="D180223" s="9">
        <v>1</v>
      </c>
    </row>
    <row r="180224" spans="4:4" ht="15.5" x14ac:dyDescent="0.35">
      <c r="D180224" s="10" t="s">
        <v>52</v>
      </c>
    </row>
    <row r="180225" spans="4:4" x14ac:dyDescent="0.35">
      <c r="D180225" s="49">
        <f>D180226*O180226</f>
        <v>0</v>
      </c>
    </row>
    <row r="180226" spans="4:4" x14ac:dyDescent="0.35">
      <c r="D180226" s="11">
        <v>300</v>
      </c>
    </row>
    <row r="180227" spans="4:4" x14ac:dyDescent="0.35">
      <c r="D180227" s="12">
        <v>299.88</v>
      </c>
    </row>
    <row r="180228" spans="4:4" x14ac:dyDescent="0.35">
      <c r="D180228" s="13" t="s">
        <v>53</v>
      </c>
    </row>
    <row r="180229" spans="4:4" x14ac:dyDescent="0.35">
      <c r="D180229" s="11" t="s">
        <v>108</v>
      </c>
    </row>
    <row r="180230" spans="4:4" x14ac:dyDescent="0.35">
      <c r="D180230" s="13" t="s">
        <v>109</v>
      </c>
    </row>
    <row r="180231" spans="4:4" x14ac:dyDescent="0.35">
      <c r="D180231" s="13">
        <v>1</v>
      </c>
    </row>
    <row r="180232" spans="4:4" x14ac:dyDescent="0.35">
      <c r="D180232" s="13">
        <v>10000</v>
      </c>
    </row>
    <row r="180233" spans="4:4" x14ac:dyDescent="0.35">
      <c r="D180233" s="14">
        <v>0.3</v>
      </c>
    </row>
    <row r="180234" spans="4:4" x14ac:dyDescent="0.35">
      <c r="D180234" s="15">
        <v>0.4</v>
      </c>
    </row>
    <row r="180235" spans="4:4" x14ac:dyDescent="0.35">
      <c r="D180235" s="11">
        <v>4</v>
      </c>
    </row>
    <row r="180236" spans="4:4" x14ac:dyDescent="0.35">
      <c r="D180236" s="11">
        <f>D180235*30</f>
        <v>120</v>
      </c>
    </row>
    <row r="180237" spans="4:4" x14ac:dyDescent="0.35">
      <c r="D180237" s="11">
        <f>D180238*70</f>
        <v>700</v>
      </c>
    </row>
    <row r="180238" spans="4:4" x14ac:dyDescent="0.35">
      <c r="D180238" s="11">
        <v>10</v>
      </c>
    </row>
    <row r="180239" spans="4:4" x14ac:dyDescent="0.35">
      <c r="D180239" s="16" t="s">
        <v>54</v>
      </c>
    </row>
    <row r="180240" spans="4:4" x14ac:dyDescent="0.35">
      <c r="D180240" s="16">
        <v>10</v>
      </c>
    </row>
    <row r="180241" spans="4:4" x14ac:dyDescent="0.35">
      <c r="D180241" s="16" t="s">
        <v>55</v>
      </c>
    </row>
    <row r="180242" spans="4:4" x14ac:dyDescent="0.35">
      <c r="D180242" s="16">
        <v>50</v>
      </c>
    </row>
    <row r="180243" spans="4:4" x14ac:dyDescent="0.35">
      <c r="D180243" s="16">
        <v>7</v>
      </c>
    </row>
    <row r="180244" spans="4:4" x14ac:dyDescent="0.35">
      <c r="D180244" s="17">
        <f>ROUNDDOWN(D180246/D180243,0)</f>
        <v>38</v>
      </c>
    </row>
    <row r="180245" spans="4:4" x14ac:dyDescent="0.35">
      <c r="D180245" s="18">
        <v>9</v>
      </c>
    </row>
    <row r="180246" spans="4:4" x14ac:dyDescent="0.35">
      <c r="D180246" s="18">
        <f>D180245*30</f>
        <v>270</v>
      </c>
    </row>
    <row r="180247" spans="4:4" x14ac:dyDescent="0.35">
      <c r="D180247" s="19">
        <f>38*D180240</f>
        <v>380</v>
      </c>
    </row>
    <row r="180248" spans="4:4" x14ac:dyDescent="0.35">
      <c r="D180248" s="20">
        <v>50</v>
      </c>
    </row>
    <row r="180249" spans="4:4" x14ac:dyDescent="0.35">
      <c r="D180249" s="19">
        <v>50</v>
      </c>
    </row>
    <row r="180250" spans="4:4" x14ac:dyDescent="0.35">
      <c r="D180250" s="19">
        <v>325</v>
      </c>
    </row>
    <row r="180251" spans="4:4" x14ac:dyDescent="0.35">
      <c r="D180251" s="21">
        <f>D180247*D180248</f>
        <v>19000</v>
      </c>
    </row>
    <row r="180252" spans="4:4" x14ac:dyDescent="0.35">
      <c r="D180252" s="21">
        <f>D180249*D180250</f>
        <v>16250</v>
      </c>
    </row>
    <row r="180253" spans="4:4" x14ac:dyDescent="0.35">
      <c r="D180253" s="22">
        <v>1.3142499999999999</v>
      </c>
    </row>
    <row r="180254" spans="4:4" x14ac:dyDescent="0.35">
      <c r="D180254" s="23">
        <f>ROUNDDOWN(D180245*30/D180231,0)</f>
        <v>270</v>
      </c>
    </row>
    <row r="180255" spans="4:4" x14ac:dyDescent="0.35">
      <c r="D180255" s="23">
        <f>D180254*2</f>
        <v>540</v>
      </c>
    </row>
    <row r="180256" spans="4:4" x14ac:dyDescent="0.35">
      <c r="D180256" s="23" t="s">
        <v>56</v>
      </c>
    </row>
    <row r="180257" spans="4:4" x14ac:dyDescent="0.35">
      <c r="D180257" s="23">
        <v>11</v>
      </c>
    </row>
    <row r="180258" spans="4:4" x14ac:dyDescent="0.35">
      <c r="D180258" s="23">
        <f>D180255*D180257</f>
        <v>5940</v>
      </c>
    </row>
    <row r="180259" spans="4:4" x14ac:dyDescent="0.35">
      <c r="D180259" s="24">
        <f>D180251+D180252</f>
        <v>35250</v>
      </c>
    </row>
    <row r="180260" spans="4:4" x14ac:dyDescent="0.35">
      <c r="D180260" s="25">
        <f xml:space="preserve"> D180234*(D180225+D180236+D180237+D180258)+ (1-D180234)*(D180258+D180225+D180236)</f>
        <v>6340</v>
      </c>
    </row>
    <row r="180261" spans="4:4" x14ac:dyDescent="0.35">
      <c r="D180261" s="26">
        <f>D180259-D180260</f>
        <v>28910</v>
      </c>
    </row>
    <row r="180262" spans="4:4" x14ac:dyDescent="0.35">
      <c r="D180262" s="27">
        <f>D180259/D180260%</f>
        <v>555.99369085173498</v>
      </c>
    </row>
    <row r="180263" spans="4:4" x14ac:dyDescent="0.35">
      <c r="D180263" s="28">
        <v>15</v>
      </c>
    </row>
    <row r="196607" spans="4:4" x14ac:dyDescent="0.35">
      <c r="D196607" s="9">
        <v>1</v>
      </c>
    </row>
    <row r="196608" spans="4:4" ht="15.5" x14ac:dyDescent="0.35">
      <c r="D196608" s="10" t="s">
        <v>52</v>
      </c>
    </row>
    <row r="196609" spans="4:4" x14ac:dyDescent="0.35">
      <c r="D196609" s="49">
        <f>D196610*O196610</f>
        <v>0</v>
      </c>
    </row>
    <row r="196610" spans="4:4" x14ac:dyDescent="0.35">
      <c r="D196610" s="11">
        <v>300</v>
      </c>
    </row>
    <row r="196611" spans="4:4" x14ac:dyDescent="0.35">
      <c r="D196611" s="12">
        <v>299.88</v>
      </c>
    </row>
    <row r="196612" spans="4:4" x14ac:dyDescent="0.35">
      <c r="D196612" s="13" t="s">
        <v>53</v>
      </c>
    </row>
    <row r="196613" spans="4:4" x14ac:dyDescent="0.35">
      <c r="D196613" s="11" t="s">
        <v>108</v>
      </c>
    </row>
    <row r="196614" spans="4:4" x14ac:dyDescent="0.35">
      <c r="D196614" s="13" t="s">
        <v>109</v>
      </c>
    </row>
    <row r="196615" spans="4:4" x14ac:dyDescent="0.35">
      <c r="D196615" s="13">
        <v>1</v>
      </c>
    </row>
    <row r="196616" spans="4:4" x14ac:dyDescent="0.35">
      <c r="D196616" s="13">
        <v>10000</v>
      </c>
    </row>
    <row r="196617" spans="4:4" x14ac:dyDescent="0.35">
      <c r="D196617" s="14">
        <v>0.3</v>
      </c>
    </row>
    <row r="196618" spans="4:4" x14ac:dyDescent="0.35">
      <c r="D196618" s="15">
        <v>0.4</v>
      </c>
    </row>
    <row r="196619" spans="4:4" x14ac:dyDescent="0.35">
      <c r="D196619" s="11">
        <v>4</v>
      </c>
    </row>
    <row r="196620" spans="4:4" x14ac:dyDescent="0.35">
      <c r="D196620" s="11">
        <f>D196619*30</f>
        <v>120</v>
      </c>
    </row>
    <row r="196621" spans="4:4" x14ac:dyDescent="0.35">
      <c r="D196621" s="11">
        <f>D196622*70</f>
        <v>700</v>
      </c>
    </row>
    <row r="196622" spans="4:4" x14ac:dyDescent="0.35">
      <c r="D196622" s="11">
        <v>10</v>
      </c>
    </row>
    <row r="196623" spans="4:4" x14ac:dyDescent="0.35">
      <c r="D196623" s="16" t="s">
        <v>54</v>
      </c>
    </row>
    <row r="196624" spans="4:4" x14ac:dyDescent="0.35">
      <c r="D196624" s="16">
        <v>10</v>
      </c>
    </row>
    <row r="196625" spans="4:4" x14ac:dyDescent="0.35">
      <c r="D196625" s="16" t="s">
        <v>55</v>
      </c>
    </row>
    <row r="196626" spans="4:4" x14ac:dyDescent="0.35">
      <c r="D196626" s="16">
        <v>50</v>
      </c>
    </row>
    <row r="196627" spans="4:4" x14ac:dyDescent="0.35">
      <c r="D196627" s="16">
        <v>7</v>
      </c>
    </row>
    <row r="196628" spans="4:4" x14ac:dyDescent="0.35">
      <c r="D196628" s="17">
        <f>ROUNDDOWN(D196630/D196627,0)</f>
        <v>38</v>
      </c>
    </row>
    <row r="196629" spans="4:4" x14ac:dyDescent="0.35">
      <c r="D196629" s="18">
        <v>9</v>
      </c>
    </row>
    <row r="196630" spans="4:4" x14ac:dyDescent="0.35">
      <c r="D196630" s="18">
        <f>D196629*30</f>
        <v>270</v>
      </c>
    </row>
    <row r="196631" spans="4:4" x14ac:dyDescent="0.35">
      <c r="D196631" s="19">
        <f>38*D196624</f>
        <v>380</v>
      </c>
    </row>
    <row r="196632" spans="4:4" x14ac:dyDescent="0.35">
      <c r="D196632" s="20">
        <v>50</v>
      </c>
    </row>
    <row r="196633" spans="4:4" x14ac:dyDescent="0.35">
      <c r="D196633" s="19">
        <v>50</v>
      </c>
    </row>
    <row r="196634" spans="4:4" x14ac:dyDescent="0.35">
      <c r="D196634" s="19">
        <v>325</v>
      </c>
    </row>
    <row r="196635" spans="4:4" x14ac:dyDescent="0.35">
      <c r="D196635" s="21">
        <f>D196631*D196632</f>
        <v>19000</v>
      </c>
    </row>
    <row r="196636" spans="4:4" x14ac:dyDescent="0.35">
      <c r="D196636" s="21">
        <f>D196633*D196634</f>
        <v>16250</v>
      </c>
    </row>
    <row r="196637" spans="4:4" x14ac:dyDescent="0.35">
      <c r="D196637" s="22">
        <v>1.3142499999999999</v>
      </c>
    </row>
    <row r="196638" spans="4:4" x14ac:dyDescent="0.35">
      <c r="D196638" s="23">
        <f>ROUNDDOWN(D196629*30/D196615,0)</f>
        <v>270</v>
      </c>
    </row>
    <row r="196639" spans="4:4" x14ac:dyDescent="0.35">
      <c r="D196639" s="23">
        <f>D196638*2</f>
        <v>540</v>
      </c>
    </row>
    <row r="196640" spans="4:4" x14ac:dyDescent="0.35">
      <c r="D196640" s="23" t="s">
        <v>56</v>
      </c>
    </row>
    <row r="196641" spans="4:4" x14ac:dyDescent="0.35">
      <c r="D196641" s="23">
        <v>11</v>
      </c>
    </row>
    <row r="196642" spans="4:4" x14ac:dyDescent="0.35">
      <c r="D196642" s="23">
        <f>D196639*D196641</f>
        <v>5940</v>
      </c>
    </row>
    <row r="196643" spans="4:4" x14ac:dyDescent="0.35">
      <c r="D196643" s="24">
        <f>D196635+D196636</f>
        <v>35250</v>
      </c>
    </row>
    <row r="196644" spans="4:4" x14ac:dyDescent="0.35">
      <c r="D196644" s="25">
        <f xml:space="preserve"> D196618*(D196609+D196620+D196621+D196642)+ (1-D196618)*(D196642+D196609+D196620)</f>
        <v>6340</v>
      </c>
    </row>
    <row r="196645" spans="4:4" x14ac:dyDescent="0.35">
      <c r="D196645" s="26">
        <f>D196643-D196644</f>
        <v>28910</v>
      </c>
    </row>
    <row r="196646" spans="4:4" x14ac:dyDescent="0.35">
      <c r="D196646" s="27">
        <f>D196643/D196644%</f>
        <v>555.99369085173498</v>
      </c>
    </row>
    <row r="196647" spans="4:4" x14ac:dyDescent="0.35">
      <c r="D196647" s="28">
        <v>15</v>
      </c>
    </row>
    <row r="212991" spans="4:4" x14ac:dyDescent="0.35">
      <c r="D212991" s="9">
        <v>1</v>
      </c>
    </row>
    <row r="212992" spans="4:4" ht="15.5" x14ac:dyDescent="0.35">
      <c r="D212992" s="10" t="s">
        <v>52</v>
      </c>
    </row>
    <row r="212993" spans="4:4" x14ac:dyDescent="0.35">
      <c r="D212993" s="49">
        <f>D212994*O212994</f>
        <v>0</v>
      </c>
    </row>
    <row r="212994" spans="4:4" x14ac:dyDescent="0.35">
      <c r="D212994" s="11">
        <v>300</v>
      </c>
    </row>
    <row r="212995" spans="4:4" x14ac:dyDescent="0.35">
      <c r="D212995" s="12">
        <v>299.88</v>
      </c>
    </row>
    <row r="212996" spans="4:4" x14ac:dyDescent="0.35">
      <c r="D212996" s="13" t="s">
        <v>53</v>
      </c>
    </row>
    <row r="212997" spans="4:4" x14ac:dyDescent="0.35">
      <c r="D212997" s="11" t="s">
        <v>108</v>
      </c>
    </row>
    <row r="212998" spans="4:4" x14ac:dyDescent="0.35">
      <c r="D212998" s="13" t="s">
        <v>109</v>
      </c>
    </row>
    <row r="212999" spans="4:4" x14ac:dyDescent="0.35">
      <c r="D212999" s="13">
        <v>1</v>
      </c>
    </row>
    <row r="213000" spans="4:4" x14ac:dyDescent="0.35">
      <c r="D213000" s="13">
        <v>10000</v>
      </c>
    </row>
    <row r="213001" spans="4:4" x14ac:dyDescent="0.35">
      <c r="D213001" s="14">
        <v>0.3</v>
      </c>
    </row>
    <row r="213002" spans="4:4" x14ac:dyDescent="0.35">
      <c r="D213002" s="15">
        <v>0.4</v>
      </c>
    </row>
    <row r="213003" spans="4:4" x14ac:dyDescent="0.35">
      <c r="D213003" s="11">
        <v>4</v>
      </c>
    </row>
    <row r="213004" spans="4:4" x14ac:dyDescent="0.35">
      <c r="D213004" s="11">
        <f>D213003*30</f>
        <v>120</v>
      </c>
    </row>
    <row r="213005" spans="4:4" x14ac:dyDescent="0.35">
      <c r="D213005" s="11">
        <f>D213006*70</f>
        <v>700</v>
      </c>
    </row>
    <row r="213006" spans="4:4" x14ac:dyDescent="0.35">
      <c r="D213006" s="11">
        <v>10</v>
      </c>
    </row>
    <row r="213007" spans="4:4" x14ac:dyDescent="0.35">
      <c r="D213007" s="16" t="s">
        <v>54</v>
      </c>
    </row>
    <row r="213008" spans="4:4" x14ac:dyDescent="0.35">
      <c r="D213008" s="16">
        <v>10</v>
      </c>
    </row>
    <row r="213009" spans="4:4" x14ac:dyDescent="0.35">
      <c r="D213009" s="16" t="s">
        <v>55</v>
      </c>
    </row>
    <row r="213010" spans="4:4" x14ac:dyDescent="0.35">
      <c r="D213010" s="16">
        <v>50</v>
      </c>
    </row>
    <row r="213011" spans="4:4" x14ac:dyDescent="0.35">
      <c r="D213011" s="16">
        <v>7</v>
      </c>
    </row>
    <row r="213012" spans="4:4" x14ac:dyDescent="0.35">
      <c r="D213012" s="17">
        <f>ROUNDDOWN(D213014/D213011,0)</f>
        <v>38</v>
      </c>
    </row>
    <row r="213013" spans="4:4" x14ac:dyDescent="0.35">
      <c r="D213013" s="18">
        <v>9</v>
      </c>
    </row>
    <row r="213014" spans="4:4" x14ac:dyDescent="0.35">
      <c r="D213014" s="18">
        <f>D213013*30</f>
        <v>270</v>
      </c>
    </row>
    <row r="213015" spans="4:4" x14ac:dyDescent="0.35">
      <c r="D213015" s="19">
        <f>38*D213008</f>
        <v>380</v>
      </c>
    </row>
    <row r="213016" spans="4:4" x14ac:dyDescent="0.35">
      <c r="D213016" s="20">
        <v>50</v>
      </c>
    </row>
    <row r="213017" spans="4:4" x14ac:dyDescent="0.35">
      <c r="D213017" s="19">
        <v>50</v>
      </c>
    </row>
    <row r="213018" spans="4:4" x14ac:dyDescent="0.35">
      <c r="D213018" s="19">
        <v>325</v>
      </c>
    </row>
    <row r="213019" spans="4:4" x14ac:dyDescent="0.35">
      <c r="D213019" s="21">
        <f>D213015*D213016</f>
        <v>19000</v>
      </c>
    </row>
    <row r="213020" spans="4:4" x14ac:dyDescent="0.35">
      <c r="D213020" s="21">
        <f>D213017*D213018</f>
        <v>16250</v>
      </c>
    </row>
    <row r="213021" spans="4:4" x14ac:dyDescent="0.35">
      <c r="D213021" s="22">
        <v>1.3142499999999999</v>
      </c>
    </row>
    <row r="213022" spans="4:4" x14ac:dyDescent="0.35">
      <c r="D213022" s="23">
        <f>ROUNDDOWN(D213013*30/D212999,0)</f>
        <v>270</v>
      </c>
    </row>
    <row r="213023" spans="4:4" x14ac:dyDescent="0.35">
      <c r="D213023" s="23">
        <f>D213022*2</f>
        <v>540</v>
      </c>
    </row>
    <row r="213024" spans="4:4" x14ac:dyDescent="0.35">
      <c r="D213024" s="23" t="s">
        <v>56</v>
      </c>
    </row>
    <row r="213025" spans="4:4" x14ac:dyDescent="0.35">
      <c r="D213025" s="23">
        <v>11</v>
      </c>
    </row>
    <row r="213026" spans="4:4" x14ac:dyDescent="0.35">
      <c r="D213026" s="23">
        <f>D213023*D213025</f>
        <v>5940</v>
      </c>
    </row>
    <row r="213027" spans="4:4" x14ac:dyDescent="0.35">
      <c r="D213027" s="24">
        <f>D213019+D213020</f>
        <v>35250</v>
      </c>
    </row>
    <row r="213028" spans="4:4" x14ac:dyDescent="0.35">
      <c r="D213028" s="25">
        <f xml:space="preserve"> D213002*(D212993+D213004+D213005+D213026)+ (1-D213002)*(D213026+D212993+D213004)</f>
        <v>6340</v>
      </c>
    </row>
    <row r="213029" spans="4:4" x14ac:dyDescent="0.35">
      <c r="D213029" s="26">
        <f>D213027-D213028</f>
        <v>28910</v>
      </c>
    </row>
    <row r="213030" spans="4:4" x14ac:dyDescent="0.35">
      <c r="D213030" s="27">
        <f>D213027/D213028%</f>
        <v>555.99369085173498</v>
      </c>
    </row>
    <row r="213031" spans="4:4" x14ac:dyDescent="0.35">
      <c r="D213031" s="28">
        <v>15</v>
      </c>
    </row>
    <row r="229375" spans="4:4" x14ac:dyDescent="0.35">
      <c r="D229375" s="9">
        <v>1</v>
      </c>
    </row>
    <row r="229376" spans="4:4" ht="15.5" x14ac:dyDescent="0.35">
      <c r="D229376" s="10" t="s">
        <v>52</v>
      </c>
    </row>
    <row r="229377" spans="4:4" x14ac:dyDescent="0.35">
      <c r="D229377" s="49">
        <f>D229378*O229378</f>
        <v>0</v>
      </c>
    </row>
    <row r="229378" spans="4:4" x14ac:dyDescent="0.35">
      <c r="D229378" s="11">
        <v>300</v>
      </c>
    </row>
    <row r="229379" spans="4:4" x14ac:dyDescent="0.35">
      <c r="D229379" s="12">
        <v>299.88</v>
      </c>
    </row>
    <row r="229380" spans="4:4" x14ac:dyDescent="0.35">
      <c r="D229380" s="13" t="s">
        <v>53</v>
      </c>
    </row>
    <row r="229381" spans="4:4" x14ac:dyDescent="0.35">
      <c r="D229381" s="11" t="s">
        <v>108</v>
      </c>
    </row>
    <row r="229382" spans="4:4" x14ac:dyDescent="0.35">
      <c r="D229382" s="13" t="s">
        <v>109</v>
      </c>
    </row>
    <row r="229383" spans="4:4" x14ac:dyDescent="0.35">
      <c r="D229383" s="13">
        <v>1</v>
      </c>
    </row>
    <row r="229384" spans="4:4" x14ac:dyDescent="0.35">
      <c r="D229384" s="13">
        <v>10000</v>
      </c>
    </row>
    <row r="229385" spans="4:4" x14ac:dyDescent="0.35">
      <c r="D229385" s="14">
        <v>0.3</v>
      </c>
    </row>
    <row r="229386" spans="4:4" x14ac:dyDescent="0.35">
      <c r="D229386" s="15">
        <v>0.4</v>
      </c>
    </row>
    <row r="229387" spans="4:4" x14ac:dyDescent="0.35">
      <c r="D229387" s="11">
        <v>4</v>
      </c>
    </row>
    <row r="229388" spans="4:4" x14ac:dyDescent="0.35">
      <c r="D229388" s="11">
        <f>D229387*30</f>
        <v>120</v>
      </c>
    </row>
    <row r="229389" spans="4:4" x14ac:dyDescent="0.35">
      <c r="D229389" s="11">
        <f>D229390*70</f>
        <v>700</v>
      </c>
    </row>
    <row r="229390" spans="4:4" x14ac:dyDescent="0.35">
      <c r="D229390" s="11">
        <v>10</v>
      </c>
    </row>
    <row r="229391" spans="4:4" x14ac:dyDescent="0.35">
      <c r="D229391" s="16" t="s">
        <v>54</v>
      </c>
    </row>
    <row r="229392" spans="4:4" x14ac:dyDescent="0.35">
      <c r="D229392" s="16">
        <v>10</v>
      </c>
    </row>
    <row r="229393" spans="4:4" x14ac:dyDescent="0.35">
      <c r="D229393" s="16" t="s">
        <v>55</v>
      </c>
    </row>
    <row r="229394" spans="4:4" x14ac:dyDescent="0.35">
      <c r="D229394" s="16">
        <v>50</v>
      </c>
    </row>
    <row r="229395" spans="4:4" x14ac:dyDescent="0.35">
      <c r="D229395" s="16">
        <v>7</v>
      </c>
    </row>
    <row r="229396" spans="4:4" x14ac:dyDescent="0.35">
      <c r="D229396" s="17">
        <f>ROUNDDOWN(D229398/D229395,0)</f>
        <v>38</v>
      </c>
    </row>
    <row r="229397" spans="4:4" x14ac:dyDescent="0.35">
      <c r="D229397" s="18">
        <v>9</v>
      </c>
    </row>
    <row r="229398" spans="4:4" x14ac:dyDescent="0.35">
      <c r="D229398" s="18">
        <f>D229397*30</f>
        <v>270</v>
      </c>
    </row>
    <row r="229399" spans="4:4" x14ac:dyDescent="0.35">
      <c r="D229399" s="19">
        <f>38*D229392</f>
        <v>380</v>
      </c>
    </row>
    <row r="229400" spans="4:4" x14ac:dyDescent="0.35">
      <c r="D229400" s="20">
        <v>50</v>
      </c>
    </row>
    <row r="229401" spans="4:4" x14ac:dyDescent="0.35">
      <c r="D229401" s="19">
        <v>50</v>
      </c>
    </row>
    <row r="229402" spans="4:4" x14ac:dyDescent="0.35">
      <c r="D229402" s="19">
        <v>325</v>
      </c>
    </row>
    <row r="229403" spans="4:4" x14ac:dyDescent="0.35">
      <c r="D229403" s="21">
        <f>D229399*D229400</f>
        <v>19000</v>
      </c>
    </row>
    <row r="229404" spans="4:4" x14ac:dyDescent="0.35">
      <c r="D229404" s="21">
        <f>D229401*D229402</f>
        <v>16250</v>
      </c>
    </row>
    <row r="229405" spans="4:4" x14ac:dyDescent="0.35">
      <c r="D229405" s="22">
        <v>1.3142499999999999</v>
      </c>
    </row>
    <row r="229406" spans="4:4" x14ac:dyDescent="0.35">
      <c r="D229406" s="23">
        <f>ROUNDDOWN(D229397*30/D229383,0)</f>
        <v>270</v>
      </c>
    </row>
    <row r="229407" spans="4:4" x14ac:dyDescent="0.35">
      <c r="D229407" s="23">
        <f>D229406*2</f>
        <v>540</v>
      </c>
    </row>
    <row r="229408" spans="4:4" x14ac:dyDescent="0.35">
      <c r="D229408" s="23" t="s">
        <v>56</v>
      </c>
    </row>
    <row r="229409" spans="4:4" x14ac:dyDescent="0.35">
      <c r="D229409" s="23">
        <v>11</v>
      </c>
    </row>
    <row r="229410" spans="4:4" x14ac:dyDescent="0.35">
      <c r="D229410" s="23">
        <f>D229407*D229409</f>
        <v>5940</v>
      </c>
    </row>
    <row r="229411" spans="4:4" x14ac:dyDescent="0.35">
      <c r="D229411" s="24">
        <f>D229403+D229404</f>
        <v>35250</v>
      </c>
    </row>
    <row r="229412" spans="4:4" x14ac:dyDescent="0.35">
      <c r="D229412" s="25">
        <f xml:space="preserve"> D229386*(D229377+D229388+D229389+D229410)+ (1-D229386)*(D229410+D229377+D229388)</f>
        <v>6340</v>
      </c>
    </row>
    <row r="229413" spans="4:4" x14ac:dyDescent="0.35">
      <c r="D229413" s="26">
        <f>D229411-D229412</f>
        <v>28910</v>
      </c>
    </row>
    <row r="229414" spans="4:4" x14ac:dyDescent="0.35">
      <c r="D229414" s="27">
        <f>D229411/D229412%</f>
        <v>555.99369085173498</v>
      </c>
    </row>
    <row r="229415" spans="4:4" x14ac:dyDescent="0.35">
      <c r="D229415" s="28">
        <v>15</v>
      </c>
    </row>
    <row r="245759" spans="4:4" x14ac:dyDescent="0.35">
      <c r="D245759" s="9">
        <v>1</v>
      </c>
    </row>
    <row r="245760" spans="4:4" ht="15.5" x14ac:dyDescent="0.35">
      <c r="D245760" s="10" t="s">
        <v>52</v>
      </c>
    </row>
    <row r="245761" spans="4:4" x14ac:dyDescent="0.35">
      <c r="D245761" s="49">
        <f>D245762*O245762</f>
        <v>0</v>
      </c>
    </row>
    <row r="245762" spans="4:4" x14ac:dyDescent="0.35">
      <c r="D245762" s="11">
        <v>300</v>
      </c>
    </row>
    <row r="245763" spans="4:4" x14ac:dyDescent="0.35">
      <c r="D245763" s="12">
        <v>299.88</v>
      </c>
    </row>
    <row r="245764" spans="4:4" x14ac:dyDescent="0.35">
      <c r="D245764" s="13" t="s">
        <v>53</v>
      </c>
    </row>
    <row r="245765" spans="4:4" x14ac:dyDescent="0.35">
      <c r="D245765" s="11" t="s">
        <v>108</v>
      </c>
    </row>
    <row r="245766" spans="4:4" x14ac:dyDescent="0.35">
      <c r="D245766" s="13" t="s">
        <v>109</v>
      </c>
    </row>
    <row r="245767" spans="4:4" x14ac:dyDescent="0.35">
      <c r="D245767" s="13">
        <v>1</v>
      </c>
    </row>
    <row r="245768" spans="4:4" x14ac:dyDescent="0.35">
      <c r="D245768" s="13">
        <v>10000</v>
      </c>
    </row>
    <row r="245769" spans="4:4" x14ac:dyDescent="0.35">
      <c r="D245769" s="14">
        <v>0.3</v>
      </c>
    </row>
    <row r="245770" spans="4:4" x14ac:dyDescent="0.35">
      <c r="D245770" s="15">
        <v>0.4</v>
      </c>
    </row>
    <row r="245771" spans="4:4" x14ac:dyDescent="0.35">
      <c r="D245771" s="11">
        <v>4</v>
      </c>
    </row>
    <row r="245772" spans="4:4" x14ac:dyDescent="0.35">
      <c r="D245772" s="11">
        <f>D245771*30</f>
        <v>120</v>
      </c>
    </row>
    <row r="245773" spans="4:4" x14ac:dyDescent="0.35">
      <c r="D245773" s="11">
        <f>D245774*70</f>
        <v>700</v>
      </c>
    </row>
    <row r="245774" spans="4:4" x14ac:dyDescent="0.35">
      <c r="D245774" s="11">
        <v>10</v>
      </c>
    </row>
    <row r="245775" spans="4:4" x14ac:dyDescent="0.35">
      <c r="D245775" s="16" t="s">
        <v>54</v>
      </c>
    </row>
    <row r="245776" spans="4:4" x14ac:dyDescent="0.35">
      <c r="D245776" s="16">
        <v>10</v>
      </c>
    </row>
    <row r="245777" spans="4:4" x14ac:dyDescent="0.35">
      <c r="D245777" s="16" t="s">
        <v>55</v>
      </c>
    </row>
    <row r="245778" spans="4:4" x14ac:dyDescent="0.35">
      <c r="D245778" s="16">
        <v>50</v>
      </c>
    </row>
    <row r="245779" spans="4:4" x14ac:dyDescent="0.35">
      <c r="D245779" s="16">
        <v>7</v>
      </c>
    </row>
    <row r="245780" spans="4:4" x14ac:dyDescent="0.35">
      <c r="D245780" s="17">
        <f>ROUNDDOWN(D245782/D245779,0)</f>
        <v>38</v>
      </c>
    </row>
    <row r="245781" spans="4:4" x14ac:dyDescent="0.35">
      <c r="D245781" s="18">
        <v>9</v>
      </c>
    </row>
    <row r="245782" spans="4:4" x14ac:dyDescent="0.35">
      <c r="D245782" s="18">
        <f>D245781*30</f>
        <v>270</v>
      </c>
    </row>
    <row r="245783" spans="4:4" x14ac:dyDescent="0.35">
      <c r="D245783" s="19">
        <f>38*D245776</f>
        <v>380</v>
      </c>
    </row>
    <row r="245784" spans="4:4" x14ac:dyDescent="0.35">
      <c r="D245784" s="20">
        <v>50</v>
      </c>
    </row>
    <row r="245785" spans="4:4" x14ac:dyDescent="0.35">
      <c r="D245785" s="19">
        <v>50</v>
      </c>
    </row>
    <row r="245786" spans="4:4" x14ac:dyDescent="0.35">
      <c r="D245786" s="19">
        <v>325</v>
      </c>
    </row>
    <row r="245787" spans="4:4" x14ac:dyDescent="0.35">
      <c r="D245787" s="21">
        <f>D245783*D245784</f>
        <v>19000</v>
      </c>
    </row>
    <row r="245788" spans="4:4" x14ac:dyDescent="0.35">
      <c r="D245788" s="21">
        <f>D245785*D245786</f>
        <v>16250</v>
      </c>
    </row>
    <row r="245789" spans="4:4" x14ac:dyDescent="0.35">
      <c r="D245789" s="22">
        <v>1.3142499999999999</v>
      </c>
    </row>
    <row r="245790" spans="4:4" x14ac:dyDescent="0.35">
      <c r="D245790" s="23">
        <f>ROUNDDOWN(D245781*30/D245767,0)</f>
        <v>270</v>
      </c>
    </row>
    <row r="245791" spans="4:4" x14ac:dyDescent="0.35">
      <c r="D245791" s="23">
        <f>D245790*2</f>
        <v>540</v>
      </c>
    </row>
    <row r="245792" spans="4:4" x14ac:dyDescent="0.35">
      <c r="D245792" s="23" t="s">
        <v>56</v>
      </c>
    </row>
    <row r="245793" spans="4:4" x14ac:dyDescent="0.35">
      <c r="D245793" s="23">
        <v>11</v>
      </c>
    </row>
    <row r="245794" spans="4:4" x14ac:dyDescent="0.35">
      <c r="D245794" s="23">
        <f>D245791*D245793</f>
        <v>5940</v>
      </c>
    </row>
    <row r="245795" spans="4:4" x14ac:dyDescent="0.35">
      <c r="D245795" s="24">
        <f>D245787+D245788</f>
        <v>35250</v>
      </c>
    </row>
    <row r="245796" spans="4:4" x14ac:dyDescent="0.35">
      <c r="D245796" s="25">
        <f xml:space="preserve"> D245770*(D245761+D245772+D245773+D245794)+ (1-D245770)*(D245794+D245761+D245772)</f>
        <v>6340</v>
      </c>
    </row>
    <row r="245797" spans="4:4" x14ac:dyDescent="0.35">
      <c r="D245797" s="26">
        <f>D245795-D245796</f>
        <v>28910</v>
      </c>
    </row>
    <row r="245798" spans="4:4" x14ac:dyDescent="0.35">
      <c r="D245798" s="27">
        <f>D245795/D245796%</f>
        <v>555.99369085173498</v>
      </c>
    </row>
    <row r="245799" spans="4:4" x14ac:dyDescent="0.35">
      <c r="D245799" s="28">
        <v>15</v>
      </c>
    </row>
    <row r="262143" spans="4:4" x14ac:dyDescent="0.35">
      <c r="D262143" s="9">
        <v>1</v>
      </c>
    </row>
    <row r="262144" spans="4:4" ht="15.5" x14ac:dyDescent="0.35">
      <c r="D262144" s="10" t="s">
        <v>52</v>
      </c>
    </row>
    <row r="262145" spans="4:4" x14ac:dyDescent="0.35">
      <c r="D262145" s="49">
        <f>D262146*O262146</f>
        <v>0</v>
      </c>
    </row>
    <row r="262146" spans="4:4" x14ac:dyDescent="0.35">
      <c r="D262146" s="11">
        <v>300</v>
      </c>
    </row>
    <row r="262147" spans="4:4" x14ac:dyDescent="0.35">
      <c r="D262147" s="12">
        <v>299.88</v>
      </c>
    </row>
    <row r="262148" spans="4:4" x14ac:dyDescent="0.35">
      <c r="D262148" s="13" t="s">
        <v>53</v>
      </c>
    </row>
    <row r="262149" spans="4:4" x14ac:dyDescent="0.35">
      <c r="D262149" s="11" t="s">
        <v>108</v>
      </c>
    </row>
    <row r="262150" spans="4:4" x14ac:dyDescent="0.35">
      <c r="D262150" s="13" t="s">
        <v>109</v>
      </c>
    </row>
    <row r="262151" spans="4:4" x14ac:dyDescent="0.35">
      <c r="D262151" s="13">
        <v>1</v>
      </c>
    </row>
    <row r="262152" spans="4:4" x14ac:dyDescent="0.35">
      <c r="D262152" s="13">
        <v>10000</v>
      </c>
    </row>
    <row r="262153" spans="4:4" x14ac:dyDescent="0.35">
      <c r="D262153" s="14">
        <v>0.3</v>
      </c>
    </row>
    <row r="262154" spans="4:4" x14ac:dyDescent="0.35">
      <c r="D262154" s="15">
        <v>0.4</v>
      </c>
    </row>
    <row r="262155" spans="4:4" x14ac:dyDescent="0.35">
      <c r="D262155" s="11">
        <v>4</v>
      </c>
    </row>
    <row r="262156" spans="4:4" x14ac:dyDescent="0.35">
      <c r="D262156" s="11">
        <f>D262155*30</f>
        <v>120</v>
      </c>
    </row>
    <row r="262157" spans="4:4" x14ac:dyDescent="0.35">
      <c r="D262157" s="11">
        <f>D262158*70</f>
        <v>700</v>
      </c>
    </row>
    <row r="262158" spans="4:4" x14ac:dyDescent="0.35">
      <c r="D262158" s="11">
        <v>10</v>
      </c>
    </row>
    <row r="262159" spans="4:4" x14ac:dyDescent="0.35">
      <c r="D262159" s="16" t="s">
        <v>54</v>
      </c>
    </row>
    <row r="262160" spans="4:4" x14ac:dyDescent="0.35">
      <c r="D262160" s="16">
        <v>10</v>
      </c>
    </row>
    <row r="262161" spans="4:4" x14ac:dyDescent="0.35">
      <c r="D262161" s="16" t="s">
        <v>55</v>
      </c>
    </row>
    <row r="262162" spans="4:4" x14ac:dyDescent="0.35">
      <c r="D262162" s="16">
        <v>50</v>
      </c>
    </row>
    <row r="262163" spans="4:4" x14ac:dyDescent="0.35">
      <c r="D262163" s="16">
        <v>7</v>
      </c>
    </row>
    <row r="262164" spans="4:4" x14ac:dyDescent="0.35">
      <c r="D262164" s="17">
        <f>ROUNDDOWN(D262166/D262163,0)</f>
        <v>38</v>
      </c>
    </row>
    <row r="262165" spans="4:4" x14ac:dyDescent="0.35">
      <c r="D262165" s="18">
        <v>9</v>
      </c>
    </row>
    <row r="262166" spans="4:4" x14ac:dyDescent="0.35">
      <c r="D262166" s="18">
        <f>D262165*30</f>
        <v>270</v>
      </c>
    </row>
    <row r="262167" spans="4:4" x14ac:dyDescent="0.35">
      <c r="D262167" s="19">
        <f>38*D262160</f>
        <v>380</v>
      </c>
    </row>
    <row r="262168" spans="4:4" x14ac:dyDescent="0.35">
      <c r="D262168" s="20">
        <v>50</v>
      </c>
    </row>
    <row r="262169" spans="4:4" x14ac:dyDescent="0.35">
      <c r="D262169" s="19">
        <v>50</v>
      </c>
    </row>
    <row r="262170" spans="4:4" x14ac:dyDescent="0.35">
      <c r="D262170" s="19">
        <v>325</v>
      </c>
    </row>
    <row r="262171" spans="4:4" x14ac:dyDescent="0.35">
      <c r="D262171" s="21">
        <f>D262167*D262168</f>
        <v>19000</v>
      </c>
    </row>
    <row r="262172" spans="4:4" x14ac:dyDescent="0.35">
      <c r="D262172" s="21">
        <f>D262169*D262170</f>
        <v>16250</v>
      </c>
    </row>
    <row r="262173" spans="4:4" x14ac:dyDescent="0.35">
      <c r="D262173" s="22">
        <v>1.3142499999999999</v>
      </c>
    </row>
    <row r="262174" spans="4:4" x14ac:dyDescent="0.35">
      <c r="D262174" s="23">
        <f>ROUNDDOWN(D262165*30/D262151,0)</f>
        <v>270</v>
      </c>
    </row>
    <row r="262175" spans="4:4" x14ac:dyDescent="0.35">
      <c r="D262175" s="23">
        <f>D262174*2</f>
        <v>540</v>
      </c>
    </row>
    <row r="262176" spans="4:4" x14ac:dyDescent="0.35">
      <c r="D262176" s="23" t="s">
        <v>56</v>
      </c>
    </row>
    <row r="262177" spans="4:4" x14ac:dyDescent="0.35">
      <c r="D262177" s="23">
        <v>11</v>
      </c>
    </row>
    <row r="262178" spans="4:4" x14ac:dyDescent="0.35">
      <c r="D262178" s="23">
        <f>D262175*D262177</f>
        <v>5940</v>
      </c>
    </row>
    <row r="262179" spans="4:4" x14ac:dyDescent="0.35">
      <c r="D262179" s="24">
        <f>D262171+D262172</f>
        <v>35250</v>
      </c>
    </row>
    <row r="262180" spans="4:4" x14ac:dyDescent="0.35">
      <c r="D262180" s="25">
        <f xml:space="preserve"> D262154*(D262145+D262156+D262157+D262178)+ (1-D262154)*(D262178+D262145+D262156)</f>
        <v>6340</v>
      </c>
    </row>
    <row r="262181" spans="4:4" x14ac:dyDescent="0.35">
      <c r="D262181" s="26">
        <f>D262179-D262180</f>
        <v>28910</v>
      </c>
    </row>
    <row r="262182" spans="4:4" x14ac:dyDescent="0.35">
      <c r="D262182" s="27">
        <f>D262179/D262180%</f>
        <v>555.99369085173498</v>
      </c>
    </row>
    <row r="262183" spans="4:4" x14ac:dyDescent="0.35">
      <c r="D262183" s="28">
        <v>15</v>
      </c>
    </row>
    <row r="278527" spans="4:4" x14ac:dyDescent="0.35">
      <c r="D278527" s="9">
        <v>1</v>
      </c>
    </row>
    <row r="278528" spans="4:4" ht="15.5" x14ac:dyDescent="0.35">
      <c r="D278528" s="10" t="s">
        <v>52</v>
      </c>
    </row>
    <row r="278529" spans="4:4" x14ac:dyDescent="0.35">
      <c r="D278529" s="49">
        <f>D278530*O278530</f>
        <v>0</v>
      </c>
    </row>
    <row r="278530" spans="4:4" x14ac:dyDescent="0.35">
      <c r="D278530" s="11">
        <v>300</v>
      </c>
    </row>
    <row r="278531" spans="4:4" x14ac:dyDescent="0.35">
      <c r="D278531" s="12">
        <v>299.88</v>
      </c>
    </row>
    <row r="278532" spans="4:4" x14ac:dyDescent="0.35">
      <c r="D278532" s="13" t="s">
        <v>53</v>
      </c>
    </row>
    <row r="278533" spans="4:4" x14ac:dyDescent="0.35">
      <c r="D278533" s="11" t="s">
        <v>108</v>
      </c>
    </row>
    <row r="278534" spans="4:4" x14ac:dyDescent="0.35">
      <c r="D278534" s="13" t="s">
        <v>109</v>
      </c>
    </row>
    <row r="278535" spans="4:4" x14ac:dyDescent="0.35">
      <c r="D278535" s="13">
        <v>1</v>
      </c>
    </row>
    <row r="278536" spans="4:4" x14ac:dyDescent="0.35">
      <c r="D278536" s="13">
        <v>10000</v>
      </c>
    </row>
    <row r="278537" spans="4:4" x14ac:dyDescent="0.35">
      <c r="D278537" s="14">
        <v>0.3</v>
      </c>
    </row>
    <row r="278538" spans="4:4" x14ac:dyDescent="0.35">
      <c r="D278538" s="15">
        <v>0.4</v>
      </c>
    </row>
    <row r="278539" spans="4:4" x14ac:dyDescent="0.35">
      <c r="D278539" s="11">
        <v>4</v>
      </c>
    </row>
    <row r="278540" spans="4:4" x14ac:dyDescent="0.35">
      <c r="D278540" s="11">
        <f>D278539*30</f>
        <v>120</v>
      </c>
    </row>
    <row r="278541" spans="4:4" x14ac:dyDescent="0.35">
      <c r="D278541" s="11">
        <f>D278542*70</f>
        <v>700</v>
      </c>
    </row>
    <row r="278542" spans="4:4" x14ac:dyDescent="0.35">
      <c r="D278542" s="11">
        <v>10</v>
      </c>
    </row>
    <row r="278543" spans="4:4" x14ac:dyDescent="0.35">
      <c r="D278543" s="16" t="s">
        <v>54</v>
      </c>
    </row>
    <row r="278544" spans="4:4" x14ac:dyDescent="0.35">
      <c r="D278544" s="16">
        <v>10</v>
      </c>
    </row>
    <row r="278545" spans="4:4" x14ac:dyDescent="0.35">
      <c r="D278545" s="16" t="s">
        <v>55</v>
      </c>
    </row>
    <row r="278546" spans="4:4" x14ac:dyDescent="0.35">
      <c r="D278546" s="16">
        <v>50</v>
      </c>
    </row>
    <row r="278547" spans="4:4" x14ac:dyDescent="0.35">
      <c r="D278547" s="16">
        <v>7</v>
      </c>
    </row>
    <row r="278548" spans="4:4" x14ac:dyDescent="0.35">
      <c r="D278548" s="17">
        <f>ROUNDDOWN(D278550/D278547,0)</f>
        <v>38</v>
      </c>
    </row>
    <row r="278549" spans="4:4" x14ac:dyDescent="0.35">
      <c r="D278549" s="18">
        <v>9</v>
      </c>
    </row>
    <row r="278550" spans="4:4" x14ac:dyDescent="0.35">
      <c r="D278550" s="18">
        <f>D278549*30</f>
        <v>270</v>
      </c>
    </row>
    <row r="278551" spans="4:4" x14ac:dyDescent="0.35">
      <c r="D278551" s="19">
        <f>38*D278544</f>
        <v>380</v>
      </c>
    </row>
    <row r="278552" spans="4:4" x14ac:dyDescent="0.35">
      <c r="D278552" s="20">
        <v>50</v>
      </c>
    </row>
    <row r="278553" spans="4:4" x14ac:dyDescent="0.35">
      <c r="D278553" s="19">
        <v>50</v>
      </c>
    </row>
    <row r="278554" spans="4:4" x14ac:dyDescent="0.35">
      <c r="D278554" s="19">
        <v>325</v>
      </c>
    </row>
    <row r="278555" spans="4:4" x14ac:dyDescent="0.35">
      <c r="D278555" s="21">
        <f>D278551*D278552</f>
        <v>19000</v>
      </c>
    </row>
    <row r="278556" spans="4:4" x14ac:dyDescent="0.35">
      <c r="D278556" s="21">
        <f>D278553*D278554</f>
        <v>16250</v>
      </c>
    </row>
    <row r="278557" spans="4:4" x14ac:dyDescent="0.35">
      <c r="D278557" s="22">
        <v>1.3142499999999999</v>
      </c>
    </row>
    <row r="278558" spans="4:4" x14ac:dyDescent="0.35">
      <c r="D278558" s="23">
        <f>ROUNDDOWN(D278549*30/D278535,0)</f>
        <v>270</v>
      </c>
    </row>
    <row r="278559" spans="4:4" x14ac:dyDescent="0.35">
      <c r="D278559" s="23">
        <f>D278558*2</f>
        <v>540</v>
      </c>
    </row>
    <row r="278560" spans="4:4" x14ac:dyDescent="0.35">
      <c r="D278560" s="23" t="s">
        <v>56</v>
      </c>
    </row>
    <row r="278561" spans="4:4" x14ac:dyDescent="0.35">
      <c r="D278561" s="23">
        <v>11</v>
      </c>
    </row>
    <row r="278562" spans="4:4" x14ac:dyDescent="0.35">
      <c r="D278562" s="23">
        <f>D278559*D278561</f>
        <v>5940</v>
      </c>
    </row>
    <row r="278563" spans="4:4" x14ac:dyDescent="0.35">
      <c r="D278563" s="24">
        <f>D278555+D278556</f>
        <v>35250</v>
      </c>
    </row>
    <row r="278564" spans="4:4" x14ac:dyDescent="0.35">
      <c r="D278564" s="25">
        <f xml:space="preserve"> D278538*(D278529+D278540+D278541+D278562)+ (1-D278538)*(D278562+D278529+D278540)</f>
        <v>6340</v>
      </c>
    </row>
    <row r="278565" spans="4:4" x14ac:dyDescent="0.35">
      <c r="D278565" s="26">
        <f>D278563-D278564</f>
        <v>28910</v>
      </c>
    </row>
    <row r="278566" spans="4:4" x14ac:dyDescent="0.35">
      <c r="D278566" s="27">
        <f>D278563/D278564%</f>
        <v>555.99369085173498</v>
      </c>
    </row>
    <row r="278567" spans="4:4" x14ac:dyDescent="0.35">
      <c r="D278567" s="28">
        <v>15</v>
      </c>
    </row>
    <row r="294911" spans="4:4" x14ac:dyDescent="0.35">
      <c r="D294911" s="9">
        <v>1</v>
      </c>
    </row>
    <row r="294912" spans="4:4" ht="15.5" x14ac:dyDescent="0.35">
      <c r="D294912" s="10" t="s">
        <v>52</v>
      </c>
    </row>
    <row r="294913" spans="4:4" x14ac:dyDescent="0.35">
      <c r="D294913" s="49">
        <f>D294914*O294914</f>
        <v>0</v>
      </c>
    </row>
    <row r="294914" spans="4:4" x14ac:dyDescent="0.35">
      <c r="D294914" s="11">
        <v>300</v>
      </c>
    </row>
    <row r="294915" spans="4:4" x14ac:dyDescent="0.35">
      <c r="D294915" s="12">
        <v>299.88</v>
      </c>
    </row>
    <row r="294916" spans="4:4" x14ac:dyDescent="0.35">
      <c r="D294916" s="13" t="s">
        <v>53</v>
      </c>
    </row>
    <row r="294917" spans="4:4" x14ac:dyDescent="0.35">
      <c r="D294917" s="11" t="s">
        <v>108</v>
      </c>
    </row>
    <row r="294918" spans="4:4" x14ac:dyDescent="0.35">
      <c r="D294918" s="13" t="s">
        <v>109</v>
      </c>
    </row>
    <row r="294919" spans="4:4" x14ac:dyDescent="0.35">
      <c r="D294919" s="13">
        <v>1</v>
      </c>
    </row>
    <row r="294920" spans="4:4" x14ac:dyDescent="0.35">
      <c r="D294920" s="13">
        <v>10000</v>
      </c>
    </row>
    <row r="294921" spans="4:4" x14ac:dyDescent="0.35">
      <c r="D294921" s="14">
        <v>0.3</v>
      </c>
    </row>
    <row r="294922" spans="4:4" x14ac:dyDescent="0.35">
      <c r="D294922" s="15">
        <v>0.4</v>
      </c>
    </row>
    <row r="294923" spans="4:4" x14ac:dyDescent="0.35">
      <c r="D294923" s="11">
        <v>4</v>
      </c>
    </row>
    <row r="294924" spans="4:4" x14ac:dyDescent="0.35">
      <c r="D294924" s="11">
        <f>D294923*30</f>
        <v>120</v>
      </c>
    </row>
    <row r="294925" spans="4:4" x14ac:dyDescent="0.35">
      <c r="D294925" s="11">
        <f>D294926*70</f>
        <v>700</v>
      </c>
    </row>
    <row r="294926" spans="4:4" x14ac:dyDescent="0.35">
      <c r="D294926" s="11">
        <v>10</v>
      </c>
    </row>
    <row r="294927" spans="4:4" x14ac:dyDescent="0.35">
      <c r="D294927" s="16" t="s">
        <v>54</v>
      </c>
    </row>
    <row r="294928" spans="4:4" x14ac:dyDescent="0.35">
      <c r="D294928" s="16">
        <v>10</v>
      </c>
    </row>
    <row r="294929" spans="4:4" x14ac:dyDescent="0.35">
      <c r="D294929" s="16" t="s">
        <v>55</v>
      </c>
    </row>
    <row r="294930" spans="4:4" x14ac:dyDescent="0.35">
      <c r="D294930" s="16">
        <v>50</v>
      </c>
    </row>
    <row r="294931" spans="4:4" x14ac:dyDescent="0.35">
      <c r="D294931" s="16">
        <v>7</v>
      </c>
    </row>
    <row r="294932" spans="4:4" x14ac:dyDescent="0.35">
      <c r="D294932" s="17">
        <f>ROUNDDOWN(D294934/D294931,0)</f>
        <v>38</v>
      </c>
    </row>
    <row r="294933" spans="4:4" x14ac:dyDescent="0.35">
      <c r="D294933" s="18">
        <v>9</v>
      </c>
    </row>
    <row r="294934" spans="4:4" x14ac:dyDescent="0.35">
      <c r="D294934" s="18">
        <f>D294933*30</f>
        <v>270</v>
      </c>
    </row>
    <row r="294935" spans="4:4" x14ac:dyDescent="0.35">
      <c r="D294935" s="19">
        <f>38*D294928</f>
        <v>380</v>
      </c>
    </row>
    <row r="294936" spans="4:4" x14ac:dyDescent="0.35">
      <c r="D294936" s="20">
        <v>50</v>
      </c>
    </row>
    <row r="294937" spans="4:4" x14ac:dyDescent="0.35">
      <c r="D294937" s="19">
        <v>50</v>
      </c>
    </row>
    <row r="294938" spans="4:4" x14ac:dyDescent="0.35">
      <c r="D294938" s="19">
        <v>325</v>
      </c>
    </row>
    <row r="294939" spans="4:4" x14ac:dyDescent="0.35">
      <c r="D294939" s="21">
        <f>D294935*D294936</f>
        <v>19000</v>
      </c>
    </row>
    <row r="294940" spans="4:4" x14ac:dyDescent="0.35">
      <c r="D294940" s="21">
        <f>D294937*D294938</f>
        <v>16250</v>
      </c>
    </row>
    <row r="294941" spans="4:4" x14ac:dyDescent="0.35">
      <c r="D294941" s="22">
        <v>1.3142499999999999</v>
      </c>
    </row>
    <row r="294942" spans="4:4" x14ac:dyDescent="0.35">
      <c r="D294942" s="23">
        <f>ROUNDDOWN(D294933*30/D294919,0)</f>
        <v>270</v>
      </c>
    </row>
    <row r="294943" spans="4:4" x14ac:dyDescent="0.35">
      <c r="D294943" s="23">
        <f>D294942*2</f>
        <v>540</v>
      </c>
    </row>
    <row r="294944" spans="4:4" x14ac:dyDescent="0.35">
      <c r="D294944" s="23" t="s">
        <v>56</v>
      </c>
    </row>
    <row r="294945" spans="4:4" x14ac:dyDescent="0.35">
      <c r="D294945" s="23">
        <v>11</v>
      </c>
    </row>
    <row r="294946" spans="4:4" x14ac:dyDescent="0.35">
      <c r="D294946" s="23">
        <f>D294943*D294945</f>
        <v>5940</v>
      </c>
    </row>
    <row r="294947" spans="4:4" x14ac:dyDescent="0.35">
      <c r="D294947" s="24">
        <f>D294939+D294940</f>
        <v>35250</v>
      </c>
    </row>
    <row r="294948" spans="4:4" x14ac:dyDescent="0.35">
      <c r="D294948" s="25">
        <f xml:space="preserve"> D294922*(D294913+D294924+D294925+D294946)+ (1-D294922)*(D294946+D294913+D294924)</f>
        <v>6340</v>
      </c>
    </row>
    <row r="294949" spans="4:4" x14ac:dyDescent="0.35">
      <c r="D294949" s="26">
        <f>D294947-D294948</f>
        <v>28910</v>
      </c>
    </row>
    <row r="294950" spans="4:4" x14ac:dyDescent="0.35">
      <c r="D294950" s="27">
        <f>D294947/D294948%</f>
        <v>555.99369085173498</v>
      </c>
    </row>
    <row r="294951" spans="4:4" x14ac:dyDescent="0.35">
      <c r="D294951" s="28">
        <v>15</v>
      </c>
    </row>
    <row r="311295" spans="4:4" x14ac:dyDescent="0.35">
      <c r="D311295" s="9">
        <v>1</v>
      </c>
    </row>
    <row r="311296" spans="4:4" ht="15.5" x14ac:dyDescent="0.35">
      <c r="D311296" s="10" t="s">
        <v>52</v>
      </c>
    </row>
    <row r="311297" spans="4:4" x14ac:dyDescent="0.35">
      <c r="D311297" s="49">
        <f>D311298*O311298</f>
        <v>0</v>
      </c>
    </row>
    <row r="311298" spans="4:4" x14ac:dyDescent="0.35">
      <c r="D311298" s="11">
        <v>300</v>
      </c>
    </row>
    <row r="311299" spans="4:4" x14ac:dyDescent="0.35">
      <c r="D311299" s="12">
        <v>299.88</v>
      </c>
    </row>
    <row r="311300" spans="4:4" x14ac:dyDescent="0.35">
      <c r="D311300" s="13" t="s">
        <v>53</v>
      </c>
    </row>
    <row r="311301" spans="4:4" x14ac:dyDescent="0.35">
      <c r="D311301" s="11" t="s">
        <v>108</v>
      </c>
    </row>
    <row r="311302" spans="4:4" x14ac:dyDescent="0.35">
      <c r="D311302" s="13" t="s">
        <v>109</v>
      </c>
    </row>
    <row r="311303" spans="4:4" x14ac:dyDescent="0.35">
      <c r="D311303" s="13">
        <v>1</v>
      </c>
    </row>
    <row r="311304" spans="4:4" x14ac:dyDescent="0.35">
      <c r="D311304" s="13">
        <v>10000</v>
      </c>
    </row>
    <row r="311305" spans="4:4" x14ac:dyDescent="0.35">
      <c r="D311305" s="14">
        <v>0.3</v>
      </c>
    </row>
    <row r="311306" spans="4:4" x14ac:dyDescent="0.35">
      <c r="D311306" s="15">
        <v>0.4</v>
      </c>
    </row>
    <row r="311307" spans="4:4" x14ac:dyDescent="0.35">
      <c r="D311307" s="11">
        <v>4</v>
      </c>
    </row>
    <row r="311308" spans="4:4" x14ac:dyDescent="0.35">
      <c r="D311308" s="11">
        <f>D311307*30</f>
        <v>120</v>
      </c>
    </row>
    <row r="311309" spans="4:4" x14ac:dyDescent="0.35">
      <c r="D311309" s="11">
        <f>D311310*70</f>
        <v>700</v>
      </c>
    </row>
    <row r="311310" spans="4:4" x14ac:dyDescent="0.35">
      <c r="D311310" s="11">
        <v>10</v>
      </c>
    </row>
    <row r="311311" spans="4:4" x14ac:dyDescent="0.35">
      <c r="D311311" s="16" t="s">
        <v>54</v>
      </c>
    </row>
    <row r="311312" spans="4:4" x14ac:dyDescent="0.35">
      <c r="D311312" s="16">
        <v>10</v>
      </c>
    </row>
    <row r="311313" spans="4:4" x14ac:dyDescent="0.35">
      <c r="D311313" s="16" t="s">
        <v>55</v>
      </c>
    </row>
    <row r="311314" spans="4:4" x14ac:dyDescent="0.35">
      <c r="D311314" s="16">
        <v>50</v>
      </c>
    </row>
    <row r="311315" spans="4:4" x14ac:dyDescent="0.35">
      <c r="D311315" s="16">
        <v>7</v>
      </c>
    </row>
    <row r="311316" spans="4:4" x14ac:dyDescent="0.35">
      <c r="D311316" s="17">
        <f>ROUNDDOWN(D311318/D311315,0)</f>
        <v>38</v>
      </c>
    </row>
    <row r="311317" spans="4:4" x14ac:dyDescent="0.35">
      <c r="D311317" s="18">
        <v>9</v>
      </c>
    </row>
    <row r="311318" spans="4:4" x14ac:dyDescent="0.35">
      <c r="D311318" s="18">
        <f>D311317*30</f>
        <v>270</v>
      </c>
    </row>
    <row r="311319" spans="4:4" x14ac:dyDescent="0.35">
      <c r="D311319" s="19">
        <f>38*D311312</f>
        <v>380</v>
      </c>
    </row>
    <row r="311320" spans="4:4" x14ac:dyDescent="0.35">
      <c r="D311320" s="20">
        <v>50</v>
      </c>
    </row>
    <row r="311321" spans="4:4" x14ac:dyDescent="0.35">
      <c r="D311321" s="19">
        <v>50</v>
      </c>
    </row>
    <row r="311322" spans="4:4" x14ac:dyDescent="0.35">
      <c r="D311322" s="19">
        <v>325</v>
      </c>
    </row>
    <row r="311323" spans="4:4" x14ac:dyDescent="0.35">
      <c r="D311323" s="21">
        <f>D311319*D311320</f>
        <v>19000</v>
      </c>
    </row>
    <row r="311324" spans="4:4" x14ac:dyDescent="0.35">
      <c r="D311324" s="21">
        <f>D311321*D311322</f>
        <v>16250</v>
      </c>
    </row>
    <row r="311325" spans="4:4" x14ac:dyDescent="0.35">
      <c r="D311325" s="22">
        <v>1.3142499999999999</v>
      </c>
    </row>
    <row r="311326" spans="4:4" x14ac:dyDescent="0.35">
      <c r="D311326" s="23">
        <f>ROUNDDOWN(D311317*30/D311303,0)</f>
        <v>270</v>
      </c>
    </row>
    <row r="311327" spans="4:4" x14ac:dyDescent="0.35">
      <c r="D311327" s="23">
        <f>D311326*2</f>
        <v>540</v>
      </c>
    </row>
    <row r="311328" spans="4:4" x14ac:dyDescent="0.35">
      <c r="D311328" s="23" t="s">
        <v>56</v>
      </c>
    </row>
    <row r="311329" spans="4:4" x14ac:dyDescent="0.35">
      <c r="D311329" s="23">
        <v>11</v>
      </c>
    </row>
    <row r="311330" spans="4:4" x14ac:dyDescent="0.35">
      <c r="D311330" s="23">
        <f>D311327*D311329</f>
        <v>5940</v>
      </c>
    </row>
    <row r="311331" spans="4:4" x14ac:dyDescent="0.35">
      <c r="D311331" s="24">
        <f>D311323+D311324</f>
        <v>35250</v>
      </c>
    </row>
    <row r="311332" spans="4:4" x14ac:dyDescent="0.35">
      <c r="D311332" s="25">
        <f xml:space="preserve"> D311306*(D311297+D311308+D311309+D311330)+ (1-D311306)*(D311330+D311297+D311308)</f>
        <v>6340</v>
      </c>
    </row>
    <row r="311333" spans="4:4" x14ac:dyDescent="0.35">
      <c r="D311333" s="26">
        <f>D311331-D311332</f>
        <v>28910</v>
      </c>
    </row>
    <row r="311334" spans="4:4" x14ac:dyDescent="0.35">
      <c r="D311334" s="27">
        <f>D311331/D311332%</f>
        <v>555.99369085173498</v>
      </c>
    </row>
    <row r="311335" spans="4:4" x14ac:dyDescent="0.35">
      <c r="D311335" s="28">
        <v>15</v>
      </c>
    </row>
    <row r="327679" spans="4:4" x14ac:dyDescent="0.35">
      <c r="D327679" s="9">
        <v>1</v>
      </c>
    </row>
    <row r="327680" spans="4:4" ht="15.5" x14ac:dyDescent="0.35">
      <c r="D327680" s="10" t="s">
        <v>52</v>
      </c>
    </row>
    <row r="327681" spans="4:4" x14ac:dyDescent="0.35">
      <c r="D327681" s="49">
        <f>D327682*O327682</f>
        <v>0</v>
      </c>
    </row>
    <row r="327682" spans="4:4" x14ac:dyDescent="0.35">
      <c r="D327682" s="11">
        <v>300</v>
      </c>
    </row>
    <row r="327683" spans="4:4" x14ac:dyDescent="0.35">
      <c r="D327683" s="12">
        <v>299.88</v>
      </c>
    </row>
    <row r="327684" spans="4:4" x14ac:dyDescent="0.35">
      <c r="D327684" s="13" t="s">
        <v>53</v>
      </c>
    </row>
    <row r="327685" spans="4:4" x14ac:dyDescent="0.35">
      <c r="D327685" s="11" t="s">
        <v>108</v>
      </c>
    </row>
    <row r="327686" spans="4:4" x14ac:dyDescent="0.35">
      <c r="D327686" s="13" t="s">
        <v>109</v>
      </c>
    </row>
    <row r="327687" spans="4:4" x14ac:dyDescent="0.35">
      <c r="D327687" s="13">
        <v>1</v>
      </c>
    </row>
    <row r="327688" spans="4:4" x14ac:dyDescent="0.35">
      <c r="D327688" s="13">
        <v>10000</v>
      </c>
    </row>
    <row r="327689" spans="4:4" x14ac:dyDescent="0.35">
      <c r="D327689" s="14">
        <v>0.3</v>
      </c>
    </row>
    <row r="327690" spans="4:4" x14ac:dyDescent="0.35">
      <c r="D327690" s="15">
        <v>0.4</v>
      </c>
    </row>
    <row r="327691" spans="4:4" x14ac:dyDescent="0.35">
      <c r="D327691" s="11">
        <v>4</v>
      </c>
    </row>
    <row r="327692" spans="4:4" x14ac:dyDescent="0.35">
      <c r="D327692" s="11">
        <f>D327691*30</f>
        <v>120</v>
      </c>
    </row>
    <row r="327693" spans="4:4" x14ac:dyDescent="0.35">
      <c r="D327693" s="11">
        <f>D327694*70</f>
        <v>700</v>
      </c>
    </row>
    <row r="327694" spans="4:4" x14ac:dyDescent="0.35">
      <c r="D327694" s="11">
        <v>10</v>
      </c>
    </row>
    <row r="327695" spans="4:4" x14ac:dyDescent="0.35">
      <c r="D327695" s="16" t="s">
        <v>54</v>
      </c>
    </row>
    <row r="327696" spans="4:4" x14ac:dyDescent="0.35">
      <c r="D327696" s="16">
        <v>10</v>
      </c>
    </row>
    <row r="327697" spans="4:4" x14ac:dyDescent="0.35">
      <c r="D327697" s="16" t="s">
        <v>55</v>
      </c>
    </row>
    <row r="327698" spans="4:4" x14ac:dyDescent="0.35">
      <c r="D327698" s="16">
        <v>50</v>
      </c>
    </row>
    <row r="327699" spans="4:4" x14ac:dyDescent="0.35">
      <c r="D327699" s="16">
        <v>7</v>
      </c>
    </row>
    <row r="327700" spans="4:4" x14ac:dyDescent="0.35">
      <c r="D327700" s="17">
        <f>ROUNDDOWN(D327702/D327699,0)</f>
        <v>38</v>
      </c>
    </row>
    <row r="327701" spans="4:4" x14ac:dyDescent="0.35">
      <c r="D327701" s="18">
        <v>9</v>
      </c>
    </row>
    <row r="327702" spans="4:4" x14ac:dyDescent="0.35">
      <c r="D327702" s="18">
        <f>D327701*30</f>
        <v>270</v>
      </c>
    </row>
    <row r="327703" spans="4:4" x14ac:dyDescent="0.35">
      <c r="D327703" s="19">
        <f>38*D327696</f>
        <v>380</v>
      </c>
    </row>
    <row r="327704" spans="4:4" x14ac:dyDescent="0.35">
      <c r="D327704" s="20">
        <v>50</v>
      </c>
    </row>
    <row r="327705" spans="4:4" x14ac:dyDescent="0.35">
      <c r="D327705" s="19">
        <v>50</v>
      </c>
    </row>
    <row r="327706" spans="4:4" x14ac:dyDescent="0.35">
      <c r="D327706" s="19">
        <v>325</v>
      </c>
    </row>
    <row r="327707" spans="4:4" x14ac:dyDescent="0.35">
      <c r="D327707" s="21">
        <f>D327703*D327704</f>
        <v>19000</v>
      </c>
    </row>
    <row r="327708" spans="4:4" x14ac:dyDescent="0.35">
      <c r="D327708" s="21">
        <f>D327705*D327706</f>
        <v>16250</v>
      </c>
    </row>
    <row r="327709" spans="4:4" x14ac:dyDescent="0.35">
      <c r="D327709" s="22">
        <v>1.3142499999999999</v>
      </c>
    </row>
    <row r="327710" spans="4:4" x14ac:dyDescent="0.35">
      <c r="D327710" s="23">
        <f>ROUNDDOWN(D327701*30/D327687,0)</f>
        <v>270</v>
      </c>
    </row>
    <row r="327711" spans="4:4" x14ac:dyDescent="0.35">
      <c r="D327711" s="23">
        <f>D327710*2</f>
        <v>540</v>
      </c>
    </row>
    <row r="327712" spans="4:4" x14ac:dyDescent="0.35">
      <c r="D327712" s="23" t="s">
        <v>56</v>
      </c>
    </row>
    <row r="327713" spans="4:4" x14ac:dyDescent="0.35">
      <c r="D327713" s="23">
        <v>11</v>
      </c>
    </row>
    <row r="327714" spans="4:4" x14ac:dyDescent="0.35">
      <c r="D327714" s="23">
        <f>D327711*D327713</f>
        <v>5940</v>
      </c>
    </row>
    <row r="327715" spans="4:4" x14ac:dyDescent="0.35">
      <c r="D327715" s="24">
        <f>D327707+D327708</f>
        <v>35250</v>
      </c>
    </row>
    <row r="327716" spans="4:4" x14ac:dyDescent="0.35">
      <c r="D327716" s="25">
        <f xml:space="preserve"> D327690*(D327681+D327692+D327693+D327714)+ (1-D327690)*(D327714+D327681+D327692)</f>
        <v>6340</v>
      </c>
    </row>
    <row r="327717" spans="4:4" x14ac:dyDescent="0.35">
      <c r="D327717" s="26">
        <f>D327715-D327716</f>
        <v>28910</v>
      </c>
    </row>
    <row r="327718" spans="4:4" x14ac:dyDescent="0.35">
      <c r="D327718" s="27">
        <f>D327715/D327716%</f>
        <v>555.99369085173498</v>
      </c>
    </row>
    <row r="327719" spans="4:4" x14ac:dyDescent="0.35">
      <c r="D327719" s="28">
        <v>15</v>
      </c>
    </row>
    <row r="344063" spans="4:4" x14ac:dyDescent="0.35">
      <c r="D344063" s="9">
        <v>1</v>
      </c>
    </row>
    <row r="344064" spans="4:4" ht="15.5" x14ac:dyDescent="0.35">
      <c r="D344064" s="10" t="s">
        <v>52</v>
      </c>
    </row>
    <row r="344065" spans="4:4" x14ac:dyDescent="0.35">
      <c r="D344065" s="49">
        <f>D344066*O344066</f>
        <v>0</v>
      </c>
    </row>
    <row r="344066" spans="4:4" x14ac:dyDescent="0.35">
      <c r="D344066" s="11">
        <v>300</v>
      </c>
    </row>
    <row r="344067" spans="4:4" x14ac:dyDescent="0.35">
      <c r="D344067" s="12">
        <v>299.88</v>
      </c>
    </row>
    <row r="344068" spans="4:4" x14ac:dyDescent="0.35">
      <c r="D344068" s="13" t="s">
        <v>53</v>
      </c>
    </row>
    <row r="344069" spans="4:4" x14ac:dyDescent="0.35">
      <c r="D344069" s="11" t="s">
        <v>108</v>
      </c>
    </row>
    <row r="344070" spans="4:4" x14ac:dyDescent="0.35">
      <c r="D344070" s="13" t="s">
        <v>109</v>
      </c>
    </row>
    <row r="344071" spans="4:4" x14ac:dyDescent="0.35">
      <c r="D344071" s="13">
        <v>1</v>
      </c>
    </row>
    <row r="344072" spans="4:4" x14ac:dyDescent="0.35">
      <c r="D344072" s="13">
        <v>10000</v>
      </c>
    </row>
    <row r="344073" spans="4:4" x14ac:dyDescent="0.35">
      <c r="D344073" s="14">
        <v>0.3</v>
      </c>
    </row>
    <row r="344074" spans="4:4" x14ac:dyDescent="0.35">
      <c r="D344074" s="15">
        <v>0.4</v>
      </c>
    </row>
    <row r="344075" spans="4:4" x14ac:dyDescent="0.35">
      <c r="D344075" s="11">
        <v>4</v>
      </c>
    </row>
    <row r="344076" spans="4:4" x14ac:dyDescent="0.35">
      <c r="D344076" s="11">
        <f>D344075*30</f>
        <v>120</v>
      </c>
    </row>
    <row r="344077" spans="4:4" x14ac:dyDescent="0.35">
      <c r="D344077" s="11">
        <f>D344078*70</f>
        <v>700</v>
      </c>
    </row>
    <row r="344078" spans="4:4" x14ac:dyDescent="0.35">
      <c r="D344078" s="11">
        <v>10</v>
      </c>
    </row>
    <row r="344079" spans="4:4" x14ac:dyDescent="0.35">
      <c r="D344079" s="16" t="s">
        <v>54</v>
      </c>
    </row>
    <row r="344080" spans="4:4" x14ac:dyDescent="0.35">
      <c r="D344080" s="16">
        <v>10</v>
      </c>
    </row>
    <row r="344081" spans="4:4" x14ac:dyDescent="0.35">
      <c r="D344081" s="16" t="s">
        <v>55</v>
      </c>
    </row>
    <row r="344082" spans="4:4" x14ac:dyDescent="0.35">
      <c r="D344082" s="16">
        <v>50</v>
      </c>
    </row>
    <row r="344083" spans="4:4" x14ac:dyDescent="0.35">
      <c r="D344083" s="16">
        <v>7</v>
      </c>
    </row>
    <row r="344084" spans="4:4" x14ac:dyDescent="0.35">
      <c r="D344084" s="17">
        <f>ROUNDDOWN(D344086/D344083,0)</f>
        <v>38</v>
      </c>
    </row>
    <row r="344085" spans="4:4" x14ac:dyDescent="0.35">
      <c r="D344085" s="18">
        <v>9</v>
      </c>
    </row>
    <row r="344086" spans="4:4" x14ac:dyDescent="0.35">
      <c r="D344086" s="18">
        <f>D344085*30</f>
        <v>270</v>
      </c>
    </row>
    <row r="344087" spans="4:4" x14ac:dyDescent="0.35">
      <c r="D344087" s="19">
        <f>38*D344080</f>
        <v>380</v>
      </c>
    </row>
    <row r="344088" spans="4:4" x14ac:dyDescent="0.35">
      <c r="D344088" s="20">
        <v>50</v>
      </c>
    </row>
    <row r="344089" spans="4:4" x14ac:dyDescent="0.35">
      <c r="D344089" s="19">
        <v>50</v>
      </c>
    </row>
    <row r="344090" spans="4:4" x14ac:dyDescent="0.35">
      <c r="D344090" s="19">
        <v>325</v>
      </c>
    </row>
    <row r="344091" spans="4:4" x14ac:dyDescent="0.35">
      <c r="D344091" s="21">
        <f>D344087*D344088</f>
        <v>19000</v>
      </c>
    </row>
    <row r="344092" spans="4:4" x14ac:dyDescent="0.35">
      <c r="D344092" s="21">
        <f>D344089*D344090</f>
        <v>16250</v>
      </c>
    </row>
    <row r="344093" spans="4:4" x14ac:dyDescent="0.35">
      <c r="D344093" s="22">
        <v>1.3142499999999999</v>
      </c>
    </row>
    <row r="344094" spans="4:4" x14ac:dyDescent="0.35">
      <c r="D344094" s="23">
        <f>ROUNDDOWN(D344085*30/D344071,0)</f>
        <v>270</v>
      </c>
    </row>
    <row r="344095" spans="4:4" x14ac:dyDescent="0.35">
      <c r="D344095" s="23">
        <f>D344094*2</f>
        <v>540</v>
      </c>
    </row>
    <row r="344096" spans="4:4" x14ac:dyDescent="0.35">
      <c r="D344096" s="23" t="s">
        <v>56</v>
      </c>
    </row>
    <row r="344097" spans="4:4" x14ac:dyDescent="0.35">
      <c r="D344097" s="23">
        <v>11</v>
      </c>
    </row>
    <row r="344098" spans="4:4" x14ac:dyDescent="0.35">
      <c r="D344098" s="23">
        <f>D344095*D344097</f>
        <v>5940</v>
      </c>
    </row>
    <row r="344099" spans="4:4" x14ac:dyDescent="0.35">
      <c r="D344099" s="24">
        <f>D344091+D344092</f>
        <v>35250</v>
      </c>
    </row>
    <row r="344100" spans="4:4" x14ac:dyDescent="0.35">
      <c r="D344100" s="25">
        <f xml:space="preserve"> D344074*(D344065+D344076+D344077+D344098)+ (1-D344074)*(D344098+D344065+D344076)</f>
        <v>6340</v>
      </c>
    </row>
    <row r="344101" spans="4:4" x14ac:dyDescent="0.35">
      <c r="D344101" s="26">
        <f>D344099-D344100</f>
        <v>28910</v>
      </c>
    </row>
    <row r="344102" spans="4:4" x14ac:dyDescent="0.35">
      <c r="D344102" s="27">
        <f>D344099/D344100%</f>
        <v>555.99369085173498</v>
      </c>
    </row>
    <row r="344103" spans="4:4" x14ac:dyDescent="0.35">
      <c r="D344103" s="28">
        <v>15</v>
      </c>
    </row>
    <row r="360447" spans="4:4" x14ac:dyDescent="0.35">
      <c r="D360447" s="9">
        <v>1</v>
      </c>
    </row>
    <row r="360448" spans="4:4" ht="15.5" x14ac:dyDescent="0.35">
      <c r="D360448" s="10" t="s">
        <v>52</v>
      </c>
    </row>
    <row r="360449" spans="4:4" x14ac:dyDescent="0.35">
      <c r="D360449" s="49">
        <f>D360450*O360450</f>
        <v>0</v>
      </c>
    </row>
    <row r="360450" spans="4:4" x14ac:dyDescent="0.35">
      <c r="D360450" s="11">
        <v>300</v>
      </c>
    </row>
    <row r="360451" spans="4:4" x14ac:dyDescent="0.35">
      <c r="D360451" s="12">
        <v>299.88</v>
      </c>
    </row>
    <row r="360452" spans="4:4" x14ac:dyDescent="0.35">
      <c r="D360452" s="13" t="s">
        <v>53</v>
      </c>
    </row>
    <row r="360453" spans="4:4" x14ac:dyDescent="0.35">
      <c r="D360453" s="11" t="s">
        <v>108</v>
      </c>
    </row>
    <row r="360454" spans="4:4" x14ac:dyDescent="0.35">
      <c r="D360454" s="13" t="s">
        <v>109</v>
      </c>
    </row>
    <row r="360455" spans="4:4" x14ac:dyDescent="0.35">
      <c r="D360455" s="13">
        <v>1</v>
      </c>
    </row>
    <row r="360456" spans="4:4" x14ac:dyDescent="0.35">
      <c r="D360456" s="13">
        <v>10000</v>
      </c>
    </row>
    <row r="360457" spans="4:4" x14ac:dyDescent="0.35">
      <c r="D360457" s="14">
        <v>0.3</v>
      </c>
    </row>
    <row r="360458" spans="4:4" x14ac:dyDescent="0.35">
      <c r="D360458" s="15">
        <v>0.4</v>
      </c>
    </row>
    <row r="360459" spans="4:4" x14ac:dyDescent="0.35">
      <c r="D360459" s="11">
        <v>4</v>
      </c>
    </row>
    <row r="360460" spans="4:4" x14ac:dyDescent="0.35">
      <c r="D360460" s="11">
        <f>D360459*30</f>
        <v>120</v>
      </c>
    </row>
    <row r="360461" spans="4:4" x14ac:dyDescent="0.35">
      <c r="D360461" s="11">
        <f>D360462*70</f>
        <v>700</v>
      </c>
    </row>
    <row r="360462" spans="4:4" x14ac:dyDescent="0.35">
      <c r="D360462" s="11">
        <v>10</v>
      </c>
    </row>
    <row r="360463" spans="4:4" x14ac:dyDescent="0.35">
      <c r="D360463" s="16" t="s">
        <v>54</v>
      </c>
    </row>
    <row r="360464" spans="4:4" x14ac:dyDescent="0.35">
      <c r="D360464" s="16">
        <v>10</v>
      </c>
    </row>
    <row r="360465" spans="4:4" x14ac:dyDescent="0.35">
      <c r="D360465" s="16" t="s">
        <v>55</v>
      </c>
    </row>
    <row r="360466" spans="4:4" x14ac:dyDescent="0.35">
      <c r="D360466" s="16">
        <v>50</v>
      </c>
    </row>
    <row r="360467" spans="4:4" x14ac:dyDescent="0.35">
      <c r="D360467" s="16">
        <v>7</v>
      </c>
    </row>
    <row r="360468" spans="4:4" x14ac:dyDescent="0.35">
      <c r="D360468" s="17">
        <f>ROUNDDOWN(D360470/D360467,0)</f>
        <v>38</v>
      </c>
    </row>
    <row r="360469" spans="4:4" x14ac:dyDescent="0.35">
      <c r="D360469" s="18">
        <v>9</v>
      </c>
    </row>
    <row r="360470" spans="4:4" x14ac:dyDescent="0.35">
      <c r="D360470" s="18">
        <f>D360469*30</f>
        <v>270</v>
      </c>
    </row>
    <row r="360471" spans="4:4" x14ac:dyDescent="0.35">
      <c r="D360471" s="19">
        <f>38*D360464</f>
        <v>380</v>
      </c>
    </row>
    <row r="360472" spans="4:4" x14ac:dyDescent="0.35">
      <c r="D360472" s="20">
        <v>50</v>
      </c>
    </row>
    <row r="360473" spans="4:4" x14ac:dyDescent="0.35">
      <c r="D360473" s="19">
        <v>50</v>
      </c>
    </row>
    <row r="360474" spans="4:4" x14ac:dyDescent="0.35">
      <c r="D360474" s="19">
        <v>325</v>
      </c>
    </row>
    <row r="360475" spans="4:4" x14ac:dyDescent="0.35">
      <c r="D360475" s="21">
        <f>D360471*D360472</f>
        <v>19000</v>
      </c>
    </row>
    <row r="360476" spans="4:4" x14ac:dyDescent="0.35">
      <c r="D360476" s="21">
        <f>D360473*D360474</f>
        <v>16250</v>
      </c>
    </row>
    <row r="360477" spans="4:4" x14ac:dyDescent="0.35">
      <c r="D360477" s="22">
        <v>1.3142499999999999</v>
      </c>
    </row>
    <row r="360478" spans="4:4" x14ac:dyDescent="0.35">
      <c r="D360478" s="23">
        <f>ROUNDDOWN(D360469*30/D360455,0)</f>
        <v>270</v>
      </c>
    </row>
    <row r="360479" spans="4:4" x14ac:dyDescent="0.35">
      <c r="D360479" s="23">
        <f>D360478*2</f>
        <v>540</v>
      </c>
    </row>
    <row r="360480" spans="4:4" x14ac:dyDescent="0.35">
      <c r="D360480" s="23" t="s">
        <v>56</v>
      </c>
    </row>
    <row r="360481" spans="4:4" x14ac:dyDescent="0.35">
      <c r="D360481" s="23">
        <v>11</v>
      </c>
    </row>
    <row r="360482" spans="4:4" x14ac:dyDescent="0.35">
      <c r="D360482" s="23">
        <f>D360479*D360481</f>
        <v>5940</v>
      </c>
    </row>
    <row r="360483" spans="4:4" x14ac:dyDescent="0.35">
      <c r="D360483" s="24">
        <f>D360475+D360476</f>
        <v>35250</v>
      </c>
    </row>
    <row r="360484" spans="4:4" x14ac:dyDescent="0.35">
      <c r="D360484" s="25">
        <f xml:space="preserve"> D360458*(D360449+D360460+D360461+D360482)+ (1-D360458)*(D360482+D360449+D360460)</f>
        <v>6340</v>
      </c>
    </row>
    <row r="360485" spans="4:4" x14ac:dyDescent="0.35">
      <c r="D360485" s="26">
        <f>D360483-D360484</f>
        <v>28910</v>
      </c>
    </row>
    <row r="360486" spans="4:4" x14ac:dyDescent="0.35">
      <c r="D360486" s="27">
        <f>D360483/D360484%</f>
        <v>555.99369085173498</v>
      </c>
    </row>
    <row r="360487" spans="4:4" x14ac:dyDescent="0.35">
      <c r="D360487" s="28">
        <v>15</v>
      </c>
    </row>
    <row r="376831" spans="4:4" x14ac:dyDescent="0.35">
      <c r="D376831" s="9">
        <v>1</v>
      </c>
    </row>
    <row r="376832" spans="4:4" ht="15.5" x14ac:dyDescent="0.35">
      <c r="D376832" s="10" t="s">
        <v>52</v>
      </c>
    </row>
    <row r="376833" spans="4:4" x14ac:dyDescent="0.35">
      <c r="D376833" s="49">
        <f>D376834*O376834</f>
        <v>0</v>
      </c>
    </row>
    <row r="376834" spans="4:4" x14ac:dyDescent="0.35">
      <c r="D376834" s="11">
        <v>300</v>
      </c>
    </row>
    <row r="376835" spans="4:4" x14ac:dyDescent="0.35">
      <c r="D376835" s="12">
        <v>299.88</v>
      </c>
    </row>
    <row r="376836" spans="4:4" x14ac:dyDescent="0.35">
      <c r="D376836" s="13" t="s">
        <v>53</v>
      </c>
    </row>
    <row r="376837" spans="4:4" x14ac:dyDescent="0.35">
      <c r="D376837" s="11" t="s">
        <v>108</v>
      </c>
    </row>
    <row r="376838" spans="4:4" x14ac:dyDescent="0.35">
      <c r="D376838" s="13" t="s">
        <v>109</v>
      </c>
    </row>
    <row r="376839" spans="4:4" x14ac:dyDescent="0.35">
      <c r="D376839" s="13">
        <v>1</v>
      </c>
    </row>
    <row r="376840" spans="4:4" x14ac:dyDescent="0.35">
      <c r="D376840" s="13">
        <v>10000</v>
      </c>
    </row>
    <row r="376841" spans="4:4" x14ac:dyDescent="0.35">
      <c r="D376841" s="14">
        <v>0.3</v>
      </c>
    </row>
    <row r="376842" spans="4:4" x14ac:dyDescent="0.35">
      <c r="D376842" s="15">
        <v>0.4</v>
      </c>
    </row>
    <row r="376843" spans="4:4" x14ac:dyDescent="0.35">
      <c r="D376843" s="11">
        <v>4</v>
      </c>
    </row>
    <row r="376844" spans="4:4" x14ac:dyDescent="0.35">
      <c r="D376844" s="11">
        <f>D376843*30</f>
        <v>120</v>
      </c>
    </row>
    <row r="376845" spans="4:4" x14ac:dyDescent="0.35">
      <c r="D376845" s="11">
        <f>D376846*70</f>
        <v>700</v>
      </c>
    </row>
    <row r="376846" spans="4:4" x14ac:dyDescent="0.35">
      <c r="D376846" s="11">
        <v>10</v>
      </c>
    </row>
    <row r="376847" spans="4:4" x14ac:dyDescent="0.35">
      <c r="D376847" s="16" t="s">
        <v>54</v>
      </c>
    </row>
    <row r="376848" spans="4:4" x14ac:dyDescent="0.35">
      <c r="D376848" s="16">
        <v>10</v>
      </c>
    </row>
    <row r="376849" spans="4:4" x14ac:dyDescent="0.35">
      <c r="D376849" s="16" t="s">
        <v>55</v>
      </c>
    </row>
    <row r="376850" spans="4:4" x14ac:dyDescent="0.35">
      <c r="D376850" s="16">
        <v>50</v>
      </c>
    </row>
    <row r="376851" spans="4:4" x14ac:dyDescent="0.35">
      <c r="D376851" s="16">
        <v>7</v>
      </c>
    </row>
    <row r="376852" spans="4:4" x14ac:dyDescent="0.35">
      <c r="D376852" s="17">
        <f>ROUNDDOWN(D376854/D376851,0)</f>
        <v>38</v>
      </c>
    </row>
    <row r="376853" spans="4:4" x14ac:dyDescent="0.35">
      <c r="D376853" s="18">
        <v>9</v>
      </c>
    </row>
    <row r="376854" spans="4:4" x14ac:dyDescent="0.35">
      <c r="D376854" s="18">
        <f>D376853*30</f>
        <v>270</v>
      </c>
    </row>
    <row r="376855" spans="4:4" x14ac:dyDescent="0.35">
      <c r="D376855" s="19">
        <f>38*D376848</f>
        <v>380</v>
      </c>
    </row>
    <row r="376856" spans="4:4" x14ac:dyDescent="0.35">
      <c r="D376856" s="20">
        <v>50</v>
      </c>
    </row>
    <row r="376857" spans="4:4" x14ac:dyDescent="0.35">
      <c r="D376857" s="19">
        <v>50</v>
      </c>
    </row>
    <row r="376858" spans="4:4" x14ac:dyDescent="0.35">
      <c r="D376858" s="19">
        <v>325</v>
      </c>
    </row>
    <row r="376859" spans="4:4" x14ac:dyDescent="0.35">
      <c r="D376859" s="21">
        <f>D376855*D376856</f>
        <v>19000</v>
      </c>
    </row>
    <row r="376860" spans="4:4" x14ac:dyDescent="0.35">
      <c r="D376860" s="21">
        <f>D376857*D376858</f>
        <v>16250</v>
      </c>
    </row>
    <row r="376861" spans="4:4" x14ac:dyDescent="0.35">
      <c r="D376861" s="22">
        <v>1.3142499999999999</v>
      </c>
    </row>
    <row r="376862" spans="4:4" x14ac:dyDescent="0.35">
      <c r="D376862" s="23">
        <f>ROUNDDOWN(D376853*30/D376839,0)</f>
        <v>270</v>
      </c>
    </row>
    <row r="376863" spans="4:4" x14ac:dyDescent="0.35">
      <c r="D376863" s="23">
        <f>D376862*2</f>
        <v>540</v>
      </c>
    </row>
    <row r="376864" spans="4:4" x14ac:dyDescent="0.35">
      <c r="D376864" s="23" t="s">
        <v>56</v>
      </c>
    </row>
    <row r="376865" spans="4:4" x14ac:dyDescent="0.35">
      <c r="D376865" s="23">
        <v>11</v>
      </c>
    </row>
    <row r="376866" spans="4:4" x14ac:dyDescent="0.35">
      <c r="D376866" s="23">
        <f>D376863*D376865</f>
        <v>5940</v>
      </c>
    </row>
    <row r="376867" spans="4:4" x14ac:dyDescent="0.35">
      <c r="D376867" s="24">
        <f>D376859+D376860</f>
        <v>35250</v>
      </c>
    </row>
    <row r="376868" spans="4:4" x14ac:dyDescent="0.35">
      <c r="D376868" s="25">
        <f xml:space="preserve"> D376842*(D376833+D376844+D376845+D376866)+ (1-D376842)*(D376866+D376833+D376844)</f>
        <v>6340</v>
      </c>
    </row>
    <row r="376869" spans="4:4" x14ac:dyDescent="0.35">
      <c r="D376869" s="26">
        <f>D376867-D376868</f>
        <v>28910</v>
      </c>
    </row>
    <row r="376870" spans="4:4" x14ac:dyDescent="0.35">
      <c r="D376870" s="27">
        <f>D376867/D376868%</f>
        <v>555.99369085173498</v>
      </c>
    </row>
    <row r="376871" spans="4:4" x14ac:dyDescent="0.35">
      <c r="D376871" s="28">
        <v>15</v>
      </c>
    </row>
    <row r="393215" spans="4:4" x14ac:dyDescent="0.35">
      <c r="D393215" s="9">
        <v>1</v>
      </c>
    </row>
    <row r="393216" spans="4:4" ht="15.5" x14ac:dyDescent="0.35">
      <c r="D393216" s="10" t="s">
        <v>52</v>
      </c>
    </row>
    <row r="393217" spans="4:4" x14ac:dyDescent="0.35">
      <c r="D393217" s="49">
        <f>D393218*O393218</f>
        <v>0</v>
      </c>
    </row>
    <row r="393218" spans="4:4" x14ac:dyDescent="0.35">
      <c r="D393218" s="11">
        <v>300</v>
      </c>
    </row>
    <row r="393219" spans="4:4" x14ac:dyDescent="0.35">
      <c r="D393219" s="12">
        <v>299.88</v>
      </c>
    </row>
    <row r="393220" spans="4:4" x14ac:dyDescent="0.35">
      <c r="D393220" s="13" t="s">
        <v>53</v>
      </c>
    </row>
    <row r="393221" spans="4:4" x14ac:dyDescent="0.35">
      <c r="D393221" s="11" t="s">
        <v>108</v>
      </c>
    </row>
    <row r="393222" spans="4:4" x14ac:dyDescent="0.35">
      <c r="D393222" s="13" t="s">
        <v>109</v>
      </c>
    </row>
    <row r="393223" spans="4:4" x14ac:dyDescent="0.35">
      <c r="D393223" s="13">
        <v>1</v>
      </c>
    </row>
    <row r="393224" spans="4:4" x14ac:dyDescent="0.35">
      <c r="D393224" s="13">
        <v>10000</v>
      </c>
    </row>
    <row r="393225" spans="4:4" x14ac:dyDescent="0.35">
      <c r="D393225" s="14">
        <v>0.3</v>
      </c>
    </row>
    <row r="393226" spans="4:4" x14ac:dyDescent="0.35">
      <c r="D393226" s="15">
        <v>0.4</v>
      </c>
    </row>
    <row r="393227" spans="4:4" x14ac:dyDescent="0.35">
      <c r="D393227" s="11">
        <v>4</v>
      </c>
    </row>
    <row r="393228" spans="4:4" x14ac:dyDescent="0.35">
      <c r="D393228" s="11">
        <f>D393227*30</f>
        <v>120</v>
      </c>
    </row>
    <row r="393229" spans="4:4" x14ac:dyDescent="0.35">
      <c r="D393229" s="11">
        <f>D393230*70</f>
        <v>700</v>
      </c>
    </row>
    <row r="393230" spans="4:4" x14ac:dyDescent="0.35">
      <c r="D393230" s="11">
        <v>10</v>
      </c>
    </row>
    <row r="393231" spans="4:4" x14ac:dyDescent="0.35">
      <c r="D393231" s="16" t="s">
        <v>54</v>
      </c>
    </row>
    <row r="393232" spans="4:4" x14ac:dyDescent="0.35">
      <c r="D393232" s="16">
        <v>10</v>
      </c>
    </row>
    <row r="393233" spans="4:4" x14ac:dyDescent="0.35">
      <c r="D393233" s="16" t="s">
        <v>55</v>
      </c>
    </row>
    <row r="393234" spans="4:4" x14ac:dyDescent="0.35">
      <c r="D393234" s="16">
        <v>50</v>
      </c>
    </row>
    <row r="393235" spans="4:4" x14ac:dyDescent="0.35">
      <c r="D393235" s="16">
        <v>7</v>
      </c>
    </row>
    <row r="393236" spans="4:4" x14ac:dyDescent="0.35">
      <c r="D393236" s="17">
        <f>ROUNDDOWN(D393238/D393235,0)</f>
        <v>38</v>
      </c>
    </row>
    <row r="393237" spans="4:4" x14ac:dyDescent="0.35">
      <c r="D393237" s="18">
        <v>9</v>
      </c>
    </row>
    <row r="393238" spans="4:4" x14ac:dyDescent="0.35">
      <c r="D393238" s="18">
        <f>D393237*30</f>
        <v>270</v>
      </c>
    </row>
    <row r="393239" spans="4:4" x14ac:dyDescent="0.35">
      <c r="D393239" s="19">
        <f>38*D393232</f>
        <v>380</v>
      </c>
    </row>
    <row r="393240" spans="4:4" x14ac:dyDescent="0.35">
      <c r="D393240" s="20">
        <v>50</v>
      </c>
    </row>
    <row r="393241" spans="4:4" x14ac:dyDescent="0.35">
      <c r="D393241" s="19">
        <v>50</v>
      </c>
    </row>
    <row r="393242" spans="4:4" x14ac:dyDescent="0.35">
      <c r="D393242" s="19">
        <v>325</v>
      </c>
    </row>
    <row r="393243" spans="4:4" x14ac:dyDescent="0.35">
      <c r="D393243" s="21">
        <f>D393239*D393240</f>
        <v>19000</v>
      </c>
    </row>
    <row r="393244" spans="4:4" x14ac:dyDescent="0.35">
      <c r="D393244" s="21">
        <f>D393241*D393242</f>
        <v>16250</v>
      </c>
    </row>
    <row r="393245" spans="4:4" x14ac:dyDescent="0.35">
      <c r="D393245" s="22">
        <v>1.3142499999999999</v>
      </c>
    </row>
    <row r="393246" spans="4:4" x14ac:dyDescent="0.35">
      <c r="D393246" s="23">
        <f>ROUNDDOWN(D393237*30/D393223,0)</f>
        <v>270</v>
      </c>
    </row>
    <row r="393247" spans="4:4" x14ac:dyDescent="0.35">
      <c r="D393247" s="23">
        <f>D393246*2</f>
        <v>540</v>
      </c>
    </row>
    <row r="393248" spans="4:4" x14ac:dyDescent="0.35">
      <c r="D393248" s="23" t="s">
        <v>56</v>
      </c>
    </row>
    <row r="393249" spans="4:4" x14ac:dyDescent="0.35">
      <c r="D393249" s="23">
        <v>11</v>
      </c>
    </row>
    <row r="393250" spans="4:4" x14ac:dyDescent="0.35">
      <c r="D393250" s="23">
        <f>D393247*D393249</f>
        <v>5940</v>
      </c>
    </row>
    <row r="393251" spans="4:4" x14ac:dyDescent="0.35">
      <c r="D393251" s="24">
        <f>D393243+D393244</f>
        <v>35250</v>
      </c>
    </row>
    <row r="393252" spans="4:4" x14ac:dyDescent="0.35">
      <c r="D393252" s="25">
        <f xml:space="preserve"> D393226*(D393217+D393228+D393229+D393250)+ (1-D393226)*(D393250+D393217+D393228)</f>
        <v>6340</v>
      </c>
    </row>
    <row r="393253" spans="4:4" x14ac:dyDescent="0.35">
      <c r="D393253" s="26">
        <f>D393251-D393252</f>
        <v>28910</v>
      </c>
    </row>
    <row r="393254" spans="4:4" x14ac:dyDescent="0.35">
      <c r="D393254" s="27">
        <f>D393251/D393252%</f>
        <v>555.99369085173498</v>
      </c>
    </row>
    <row r="393255" spans="4:4" x14ac:dyDescent="0.35">
      <c r="D393255" s="28">
        <v>15</v>
      </c>
    </row>
    <row r="409599" spans="4:4" x14ac:dyDescent="0.35">
      <c r="D409599" s="9">
        <v>1</v>
      </c>
    </row>
    <row r="409600" spans="4:4" ht="15.5" x14ac:dyDescent="0.35">
      <c r="D409600" s="10" t="s">
        <v>52</v>
      </c>
    </row>
    <row r="409601" spans="4:4" x14ac:dyDescent="0.35">
      <c r="D409601" s="49">
        <f>D409602*O409602</f>
        <v>0</v>
      </c>
    </row>
    <row r="409602" spans="4:4" x14ac:dyDescent="0.35">
      <c r="D409602" s="11">
        <v>300</v>
      </c>
    </row>
    <row r="409603" spans="4:4" x14ac:dyDescent="0.35">
      <c r="D409603" s="12">
        <v>299.88</v>
      </c>
    </row>
    <row r="409604" spans="4:4" x14ac:dyDescent="0.35">
      <c r="D409604" s="13" t="s">
        <v>53</v>
      </c>
    </row>
    <row r="409605" spans="4:4" x14ac:dyDescent="0.35">
      <c r="D409605" s="11" t="s">
        <v>108</v>
      </c>
    </row>
    <row r="409606" spans="4:4" x14ac:dyDescent="0.35">
      <c r="D409606" s="13" t="s">
        <v>109</v>
      </c>
    </row>
    <row r="409607" spans="4:4" x14ac:dyDescent="0.35">
      <c r="D409607" s="13">
        <v>1</v>
      </c>
    </row>
    <row r="409608" spans="4:4" x14ac:dyDescent="0.35">
      <c r="D409608" s="13">
        <v>10000</v>
      </c>
    </row>
    <row r="409609" spans="4:4" x14ac:dyDescent="0.35">
      <c r="D409609" s="14">
        <v>0.3</v>
      </c>
    </row>
    <row r="409610" spans="4:4" x14ac:dyDescent="0.35">
      <c r="D409610" s="15">
        <v>0.4</v>
      </c>
    </row>
    <row r="409611" spans="4:4" x14ac:dyDescent="0.35">
      <c r="D409611" s="11">
        <v>4</v>
      </c>
    </row>
    <row r="409612" spans="4:4" x14ac:dyDescent="0.35">
      <c r="D409612" s="11">
        <f>D409611*30</f>
        <v>120</v>
      </c>
    </row>
    <row r="409613" spans="4:4" x14ac:dyDescent="0.35">
      <c r="D409613" s="11">
        <f>D409614*70</f>
        <v>700</v>
      </c>
    </row>
    <row r="409614" spans="4:4" x14ac:dyDescent="0.35">
      <c r="D409614" s="11">
        <v>10</v>
      </c>
    </row>
    <row r="409615" spans="4:4" x14ac:dyDescent="0.35">
      <c r="D409615" s="16" t="s">
        <v>54</v>
      </c>
    </row>
    <row r="409616" spans="4:4" x14ac:dyDescent="0.35">
      <c r="D409616" s="16">
        <v>10</v>
      </c>
    </row>
    <row r="409617" spans="4:4" x14ac:dyDescent="0.35">
      <c r="D409617" s="16" t="s">
        <v>55</v>
      </c>
    </row>
    <row r="409618" spans="4:4" x14ac:dyDescent="0.35">
      <c r="D409618" s="16">
        <v>50</v>
      </c>
    </row>
    <row r="409619" spans="4:4" x14ac:dyDescent="0.35">
      <c r="D409619" s="16">
        <v>7</v>
      </c>
    </row>
    <row r="409620" spans="4:4" x14ac:dyDescent="0.35">
      <c r="D409620" s="17">
        <f>ROUNDDOWN(D409622/D409619,0)</f>
        <v>38</v>
      </c>
    </row>
    <row r="409621" spans="4:4" x14ac:dyDescent="0.35">
      <c r="D409621" s="18">
        <v>9</v>
      </c>
    </row>
    <row r="409622" spans="4:4" x14ac:dyDescent="0.35">
      <c r="D409622" s="18">
        <f>D409621*30</f>
        <v>270</v>
      </c>
    </row>
    <row r="409623" spans="4:4" x14ac:dyDescent="0.35">
      <c r="D409623" s="19">
        <f>38*D409616</f>
        <v>380</v>
      </c>
    </row>
    <row r="409624" spans="4:4" x14ac:dyDescent="0.35">
      <c r="D409624" s="20">
        <v>50</v>
      </c>
    </row>
    <row r="409625" spans="4:4" x14ac:dyDescent="0.35">
      <c r="D409625" s="19">
        <v>50</v>
      </c>
    </row>
    <row r="409626" spans="4:4" x14ac:dyDescent="0.35">
      <c r="D409626" s="19">
        <v>325</v>
      </c>
    </row>
    <row r="409627" spans="4:4" x14ac:dyDescent="0.35">
      <c r="D409627" s="21">
        <f>D409623*D409624</f>
        <v>19000</v>
      </c>
    </row>
    <row r="409628" spans="4:4" x14ac:dyDescent="0.35">
      <c r="D409628" s="21">
        <f>D409625*D409626</f>
        <v>16250</v>
      </c>
    </row>
    <row r="409629" spans="4:4" x14ac:dyDescent="0.35">
      <c r="D409629" s="22">
        <v>1.3142499999999999</v>
      </c>
    </row>
    <row r="409630" spans="4:4" x14ac:dyDescent="0.35">
      <c r="D409630" s="23">
        <f>ROUNDDOWN(D409621*30/D409607,0)</f>
        <v>270</v>
      </c>
    </row>
    <row r="409631" spans="4:4" x14ac:dyDescent="0.35">
      <c r="D409631" s="23">
        <f>D409630*2</f>
        <v>540</v>
      </c>
    </row>
    <row r="409632" spans="4:4" x14ac:dyDescent="0.35">
      <c r="D409632" s="23" t="s">
        <v>56</v>
      </c>
    </row>
    <row r="409633" spans="4:4" x14ac:dyDescent="0.35">
      <c r="D409633" s="23">
        <v>11</v>
      </c>
    </row>
    <row r="409634" spans="4:4" x14ac:dyDescent="0.35">
      <c r="D409634" s="23">
        <f>D409631*D409633</f>
        <v>5940</v>
      </c>
    </row>
    <row r="409635" spans="4:4" x14ac:dyDescent="0.35">
      <c r="D409635" s="24">
        <f>D409627+D409628</f>
        <v>35250</v>
      </c>
    </row>
    <row r="409636" spans="4:4" x14ac:dyDescent="0.35">
      <c r="D409636" s="25">
        <f xml:space="preserve"> D409610*(D409601+D409612+D409613+D409634)+ (1-D409610)*(D409634+D409601+D409612)</f>
        <v>6340</v>
      </c>
    </row>
    <row r="409637" spans="4:4" x14ac:dyDescent="0.35">
      <c r="D409637" s="26">
        <f>D409635-D409636</f>
        <v>28910</v>
      </c>
    </row>
    <row r="409638" spans="4:4" x14ac:dyDescent="0.35">
      <c r="D409638" s="27">
        <f>D409635/D409636%</f>
        <v>555.99369085173498</v>
      </c>
    </row>
    <row r="409639" spans="4:4" x14ac:dyDescent="0.35">
      <c r="D409639" s="28">
        <v>15</v>
      </c>
    </row>
    <row r="425983" spans="4:4" x14ac:dyDescent="0.35">
      <c r="D425983" s="9">
        <v>1</v>
      </c>
    </row>
    <row r="425984" spans="4:4" ht="15.5" x14ac:dyDescent="0.35">
      <c r="D425984" s="10" t="s">
        <v>52</v>
      </c>
    </row>
    <row r="425985" spans="4:4" x14ac:dyDescent="0.35">
      <c r="D425985" s="49">
        <f>D425986*O425986</f>
        <v>0</v>
      </c>
    </row>
    <row r="425986" spans="4:4" x14ac:dyDescent="0.35">
      <c r="D425986" s="11">
        <v>300</v>
      </c>
    </row>
    <row r="425987" spans="4:4" x14ac:dyDescent="0.35">
      <c r="D425987" s="12">
        <v>299.88</v>
      </c>
    </row>
    <row r="425988" spans="4:4" x14ac:dyDescent="0.35">
      <c r="D425988" s="13" t="s">
        <v>53</v>
      </c>
    </row>
    <row r="425989" spans="4:4" x14ac:dyDescent="0.35">
      <c r="D425989" s="11" t="s">
        <v>108</v>
      </c>
    </row>
    <row r="425990" spans="4:4" x14ac:dyDescent="0.35">
      <c r="D425990" s="13" t="s">
        <v>109</v>
      </c>
    </row>
    <row r="425991" spans="4:4" x14ac:dyDescent="0.35">
      <c r="D425991" s="13">
        <v>1</v>
      </c>
    </row>
    <row r="425992" spans="4:4" x14ac:dyDescent="0.35">
      <c r="D425992" s="13">
        <v>10000</v>
      </c>
    </row>
    <row r="425993" spans="4:4" x14ac:dyDescent="0.35">
      <c r="D425993" s="14">
        <v>0.3</v>
      </c>
    </row>
    <row r="425994" spans="4:4" x14ac:dyDescent="0.35">
      <c r="D425994" s="15">
        <v>0.4</v>
      </c>
    </row>
    <row r="425995" spans="4:4" x14ac:dyDescent="0.35">
      <c r="D425995" s="11">
        <v>4</v>
      </c>
    </row>
    <row r="425996" spans="4:4" x14ac:dyDescent="0.35">
      <c r="D425996" s="11">
        <f>D425995*30</f>
        <v>120</v>
      </c>
    </row>
    <row r="425997" spans="4:4" x14ac:dyDescent="0.35">
      <c r="D425997" s="11">
        <f>D425998*70</f>
        <v>700</v>
      </c>
    </row>
    <row r="425998" spans="4:4" x14ac:dyDescent="0.35">
      <c r="D425998" s="11">
        <v>10</v>
      </c>
    </row>
    <row r="425999" spans="4:4" x14ac:dyDescent="0.35">
      <c r="D425999" s="16" t="s">
        <v>54</v>
      </c>
    </row>
    <row r="426000" spans="4:4" x14ac:dyDescent="0.35">
      <c r="D426000" s="16">
        <v>10</v>
      </c>
    </row>
    <row r="426001" spans="4:4" x14ac:dyDescent="0.35">
      <c r="D426001" s="16" t="s">
        <v>55</v>
      </c>
    </row>
    <row r="426002" spans="4:4" x14ac:dyDescent="0.35">
      <c r="D426002" s="16">
        <v>50</v>
      </c>
    </row>
    <row r="426003" spans="4:4" x14ac:dyDescent="0.35">
      <c r="D426003" s="16">
        <v>7</v>
      </c>
    </row>
    <row r="426004" spans="4:4" x14ac:dyDescent="0.35">
      <c r="D426004" s="17">
        <f>ROUNDDOWN(D426006/D426003,0)</f>
        <v>38</v>
      </c>
    </row>
    <row r="426005" spans="4:4" x14ac:dyDescent="0.35">
      <c r="D426005" s="18">
        <v>9</v>
      </c>
    </row>
    <row r="426006" spans="4:4" x14ac:dyDescent="0.35">
      <c r="D426006" s="18">
        <f>D426005*30</f>
        <v>270</v>
      </c>
    </row>
    <row r="426007" spans="4:4" x14ac:dyDescent="0.35">
      <c r="D426007" s="19">
        <f>38*D426000</f>
        <v>380</v>
      </c>
    </row>
    <row r="426008" spans="4:4" x14ac:dyDescent="0.35">
      <c r="D426008" s="20">
        <v>50</v>
      </c>
    </row>
    <row r="426009" spans="4:4" x14ac:dyDescent="0.35">
      <c r="D426009" s="19">
        <v>50</v>
      </c>
    </row>
    <row r="426010" spans="4:4" x14ac:dyDescent="0.35">
      <c r="D426010" s="19">
        <v>325</v>
      </c>
    </row>
    <row r="426011" spans="4:4" x14ac:dyDescent="0.35">
      <c r="D426011" s="21">
        <f>D426007*D426008</f>
        <v>19000</v>
      </c>
    </row>
    <row r="426012" spans="4:4" x14ac:dyDescent="0.35">
      <c r="D426012" s="21">
        <f>D426009*D426010</f>
        <v>16250</v>
      </c>
    </row>
    <row r="426013" spans="4:4" x14ac:dyDescent="0.35">
      <c r="D426013" s="22">
        <v>1.3142499999999999</v>
      </c>
    </row>
    <row r="426014" spans="4:4" x14ac:dyDescent="0.35">
      <c r="D426014" s="23">
        <f>ROUNDDOWN(D426005*30/D425991,0)</f>
        <v>270</v>
      </c>
    </row>
    <row r="426015" spans="4:4" x14ac:dyDescent="0.35">
      <c r="D426015" s="23">
        <f>D426014*2</f>
        <v>540</v>
      </c>
    </row>
    <row r="426016" spans="4:4" x14ac:dyDescent="0.35">
      <c r="D426016" s="23" t="s">
        <v>56</v>
      </c>
    </row>
    <row r="426017" spans="4:4" x14ac:dyDescent="0.35">
      <c r="D426017" s="23">
        <v>11</v>
      </c>
    </row>
    <row r="426018" spans="4:4" x14ac:dyDescent="0.35">
      <c r="D426018" s="23">
        <f>D426015*D426017</f>
        <v>5940</v>
      </c>
    </row>
    <row r="426019" spans="4:4" x14ac:dyDescent="0.35">
      <c r="D426019" s="24">
        <f>D426011+D426012</f>
        <v>35250</v>
      </c>
    </row>
    <row r="426020" spans="4:4" x14ac:dyDescent="0.35">
      <c r="D426020" s="25">
        <f xml:space="preserve"> D425994*(D425985+D425996+D425997+D426018)+ (1-D425994)*(D426018+D425985+D425996)</f>
        <v>6340</v>
      </c>
    </row>
    <row r="426021" spans="4:4" x14ac:dyDescent="0.35">
      <c r="D426021" s="26">
        <f>D426019-D426020</f>
        <v>28910</v>
      </c>
    </row>
    <row r="426022" spans="4:4" x14ac:dyDescent="0.35">
      <c r="D426022" s="27">
        <f>D426019/D426020%</f>
        <v>555.99369085173498</v>
      </c>
    </row>
    <row r="426023" spans="4:4" x14ac:dyDescent="0.35">
      <c r="D426023" s="28">
        <v>15</v>
      </c>
    </row>
    <row r="442367" spans="4:4" x14ac:dyDescent="0.35">
      <c r="D442367" s="9">
        <v>1</v>
      </c>
    </row>
    <row r="442368" spans="4:4" ht="15.5" x14ac:dyDescent="0.35">
      <c r="D442368" s="10" t="s">
        <v>52</v>
      </c>
    </row>
    <row r="442369" spans="4:4" x14ac:dyDescent="0.35">
      <c r="D442369" s="49">
        <f>D442370*O442370</f>
        <v>0</v>
      </c>
    </row>
    <row r="442370" spans="4:4" x14ac:dyDescent="0.35">
      <c r="D442370" s="11">
        <v>300</v>
      </c>
    </row>
    <row r="442371" spans="4:4" x14ac:dyDescent="0.35">
      <c r="D442371" s="12">
        <v>299.88</v>
      </c>
    </row>
    <row r="442372" spans="4:4" x14ac:dyDescent="0.35">
      <c r="D442372" s="13" t="s">
        <v>53</v>
      </c>
    </row>
    <row r="442373" spans="4:4" x14ac:dyDescent="0.35">
      <c r="D442373" s="11" t="s">
        <v>108</v>
      </c>
    </row>
    <row r="442374" spans="4:4" x14ac:dyDescent="0.35">
      <c r="D442374" s="13" t="s">
        <v>109</v>
      </c>
    </row>
    <row r="442375" spans="4:4" x14ac:dyDescent="0.35">
      <c r="D442375" s="13">
        <v>1</v>
      </c>
    </row>
    <row r="442376" spans="4:4" x14ac:dyDescent="0.35">
      <c r="D442376" s="13">
        <v>10000</v>
      </c>
    </row>
    <row r="442377" spans="4:4" x14ac:dyDescent="0.35">
      <c r="D442377" s="14">
        <v>0.3</v>
      </c>
    </row>
    <row r="442378" spans="4:4" x14ac:dyDescent="0.35">
      <c r="D442378" s="15">
        <v>0.4</v>
      </c>
    </row>
    <row r="442379" spans="4:4" x14ac:dyDescent="0.35">
      <c r="D442379" s="11">
        <v>4</v>
      </c>
    </row>
    <row r="442380" spans="4:4" x14ac:dyDescent="0.35">
      <c r="D442380" s="11">
        <f>D442379*30</f>
        <v>120</v>
      </c>
    </row>
    <row r="442381" spans="4:4" x14ac:dyDescent="0.35">
      <c r="D442381" s="11">
        <f>D442382*70</f>
        <v>700</v>
      </c>
    </row>
    <row r="442382" spans="4:4" x14ac:dyDescent="0.35">
      <c r="D442382" s="11">
        <v>10</v>
      </c>
    </row>
    <row r="442383" spans="4:4" x14ac:dyDescent="0.35">
      <c r="D442383" s="16" t="s">
        <v>54</v>
      </c>
    </row>
    <row r="442384" spans="4:4" x14ac:dyDescent="0.35">
      <c r="D442384" s="16">
        <v>10</v>
      </c>
    </row>
    <row r="442385" spans="4:4" x14ac:dyDescent="0.35">
      <c r="D442385" s="16" t="s">
        <v>55</v>
      </c>
    </row>
    <row r="442386" spans="4:4" x14ac:dyDescent="0.35">
      <c r="D442386" s="16">
        <v>50</v>
      </c>
    </row>
    <row r="442387" spans="4:4" x14ac:dyDescent="0.35">
      <c r="D442387" s="16">
        <v>7</v>
      </c>
    </row>
    <row r="442388" spans="4:4" x14ac:dyDescent="0.35">
      <c r="D442388" s="17">
        <f>ROUNDDOWN(D442390/D442387,0)</f>
        <v>38</v>
      </c>
    </row>
    <row r="442389" spans="4:4" x14ac:dyDescent="0.35">
      <c r="D442389" s="18">
        <v>9</v>
      </c>
    </row>
    <row r="442390" spans="4:4" x14ac:dyDescent="0.35">
      <c r="D442390" s="18">
        <f>D442389*30</f>
        <v>270</v>
      </c>
    </row>
    <row r="442391" spans="4:4" x14ac:dyDescent="0.35">
      <c r="D442391" s="19">
        <f>38*D442384</f>
        <v>380</v>
      </c>
    </row>
    <row r="442392" spans="4:4" x14ac:dyDescent="0.35">
      <c r="D442392" s="20">
        <v>50</v>
      </c>
    </row>
    <row r="442393" spans="4:4" x14ac:dyDescent="0.35">
      <c r="D442393" s="19">
        <v>50</v>
      </c>
    </row>
    <row r="442394" spans="4:4" x14ac:dyDescent="0.35">
      <c r="D442394" s="19">
        <v>325</v>
      </c>
    </row>
    <row r="442395" spans="4:4" x14ac:dyDescent="0.35">
      <c r="D442395" s="21">
        <f>D442391*D442392</f>
        <v>19000</v>
      </c>
    </row>
    <row r="442396" spans="4:4" x14ac:dyDescent="0.35">
      <c r="D442396" s="21">
        <f>D442393*D442394</f>
        <v>16250</v>
      </c>
    </row>
    <row r="442397" spans="4:4" x14ac:dyDescent="0.35">
      <c r="D442397" s="22">
        <v>1.3142499999999999</v>
      </c>
    </row>
    <row r="442398" spans="4:4" x14ac:dyDescent="0.35">
      <c r="D442398" s="23">
        <f>ROUNDDOWN(D442389*30/D442375,0)</f>
        <v>270</v>
      </c>
    </row>
    <row r="442399" spans="4:4" x14ac:dyDescent="0.35">
      <c r="D442399" s="23">
        <f>D442398*2</f>
        <v>540</v>
      </c>
    </row>
    <row r="442400" spans="4:4" x14ac:dyDescent="0.35">
      <c r="D442400" s="23" t="s">
        <v>56</v>
      </c>
    </row>
    <row r="442401" spans="4:4" x14ac:dyDescent="0.35">
      <c r="D442401" s="23">
        <v>11</v>
      </c>
    </row>
    <row r="442402" spans="4:4" x14ac:dyDescent="0.35">
      <c r="D442402" s="23">
        <f>D442399*D442401</f>
        <v>5940</v>
      </c>
    </row>
    <row r="442403" spans="4:4" x14ac:dyDescent="0.35">
      <c r="D442403" s="24">
        <f>D442395+D442396</f>
        <v>35250</v>
      </c>
    </row>
    <row r="442404" spans="4:4" x14ac:dyDescent="0.35">
      <c r="D442404" s="25">
        <f xml:space="preserve"> D442378*(D442369+D442380+D442381+D442402)+ (1-D442378)*(D442402+D442369+D442380)</f>
        <v>6340</v>
      </c>
    </row>
    <row r="442405" spans="4:4" x14ac:dyDescent="0.35">
      <c r="D442405" s="26">
        <f>D442403-D442404</f>
        <v>28910</v>
      </c>
    </row>
    <row r="442406" spans="4:4" x14ac:dyDescent="0.35">
      <c r="D442406" s="27">
        <f>D442403/D442404%</f>
        <v>555.99369085173498</v>
      </c>
    </row>
    <row r="442407" spans="4:4" x14ac:dyDescent="0.35">
      <c r="D442407" s="28">
        <v>15</v>
      </c>
    </row>
    <row r="458751" spans="4:4" x14ac:dyDescent="0.35">
      <c r="D458751" s="9">
        <v>1</v>
      </c>
    </row>
    <row r="458752" spans="4:4" ht="15.5" x14ac:dyDescent="0.35">
      <c r="D458752" s="10" t="s">
        <v>52</v>
      </c>
    </row>
    <row r="458753" spans="4:4" x14ac:dyDescent="0.35">
      <c r="D458753" s="49">
        <f>D458754*O458754</f>
        <v>0</v>
      </c>
    </row>
    <row r="458754" spans="4:4" x14ac:dyDescent="0.35">
      <c r="D458754" s="11">
        <v>300</v>
      </c>
    </row>
    <row r="458755" spans="4:4" x14ac:dyDescent="0.35">
      <c r="D458755" s="12">
        <v>299.88</v>
      </c>
    </row>
    <row r="458756" spans="4:4" x14ac:dyDescent="0.35">
      <c r="D458756" s="13" t="s">
        <v>53</v>
      </c>
    </row>
    <row r="458757" spans="4:4" x14ac:dyDescent="0.35">
      <c r="D458757" s="11" t="s">
        <v>108</v>
      </c>
    </row>
    <row r="458758" spans="4:4" x14ac:dyDescent="0.35">
      <c r="D458758" s="13" t="s">
        <v>109</v>
      </c>
    </row>
    <row r="458759" spans="4:4" x14ac:dyDescent="0.35">
      <c r="D458759" s="13">
        <v>1</v>
      </c>
    </row>
    <row r="458760" spans="4:4" x14ac:dyDescent="0.35">
      <c r="D458760" s="13">
        <v>10000</v>
      </c>
    </row>
    <row r="458761" spans="4:4" x14ac:dyDescent="0.35">
      <c r="D458761" s="14">
        <v>0.3</v>
      </c>
    </row>
    <row r="458762" spans="4:4" x14ac:dyDescent="0.35">
      <c r="D458762" s="15">
        <v>0.4</v>
      </c>
    </row>
    <row r="458763" spans="4:4" x14ac:dyDescent="0.35">
      <c r="D458763" s="11">
        <v>4</v>
      </c>
    </row>
    <row r="458764" spans="4:4" x14ac:dyDescent="0.35">
      <c r="D458764" s="11">
        <f>D458763*30</f>
        <v>120</v>
      </c>
    </row>
    <row r="458765" spans="4:4" x14ac:dyDescent="0.35">
      <c r="D458765" s="11">
        <f>D458766*70</f>
        <v>700</v>
      </c>
    </row>
    <row r="458766" spans="4:4" x14ac:dyDescent="0.35">
      <c r="D458766" s="11">
        <v>10</v>
      </c>
    </row>
    <row r="458767" spans="4:4" x14ac:dyDescent="0.35">
      <c r="D458767" s="16" t="s">
        <v>54</v>
      </c>
    </row>
    <row r="458768" spans="4:4" x14ac:dyDescent="0.35">
      <c r="D458768" s="16">
        <v>10</v>
      </c>
    </row>
    <row r="458769" spans="4:4" x14ac:dyDescent="0.35">
      <c r="D458769" s="16" t="s">
        <v>55</v>
      </c>
    </row>
    <row r="458770" spans="4:4" x14ac:dyDescent="0.35">
      <c r="D458770" s="16">
        <v>50</v>
      </c>
    </row>
    <row r="458771" spans="4:4" x14ac:dyDescent="0.35">
      <c r="D458771" s="16">
        <v>7</v>
      </c>
    </row>
    <row r="458772" spans="4:4" x14ac:dyDescent="0.35">
      <c r="D458772" s="17">
        <f>ROUNDDOWN(D458774/D458771,0)</f>
        <v>38</v>
      </c>
    </row>
    <row r="458773" spans="4:4" x14ac:dyDescent="0.35">
      <c r="D458773" s="18">
        <v>9</v>
      </c>
    </row>
    <row r="458774" spans="4:4" x14ac:dyDescent="0.35">
      <c r="D458774" s="18">
        <f>D458773*30</f>
        <v>270</v>
      </c>
    </row>
    <row r="458775" spans="4:4" x14ac:dyDescent="0.35">
      <c r="D458775" s="19">
        <f>38*D458768</f>
        <v>380</v>
      </c>
    </row>
    <row r="458776" spans="4:4" x14ac:dyDescent="0.35">
      <c r="D458776" s="20">
        <v>50</v>
      </c>
    </row>
    <row r="458777" spans="4:4" x14ac:dyDescent="0.35">
      <c r="D458777" s="19">
        <v>50</v>
      </c>
    </row>
    <row r="458778" spans="4:4" x14ac:dyDescent="0.35">
      <c r="D458778" s="19">
        <v>325</v>
      </c>
    </row>
    <row r="458779" spans="4:4" x14ac:dyDescent="0.35">
      <c r="D458779" s="21">
        <f>D458775*D458776</f>
        <v>19000</v>
      </c>
    </row>
    <row r="458780" spans="4:4" x14ac:dyDescent="0.35">
      <c r="D458780" s="21">
        <f>D458777*D458778</f>
        <v>16250</v>
      </c>
    </row>
    <row r="458781" spans="4:4" x14ac:dyDescent="0.35">
      <c r="D458781" s="22">
        <v>1.3142499999999999</v>
      </c>
    </row>
    <row r="458782" spans="4:4" x14ac:dyDescent="0.35">
      <c r="D458782" s="23">
        <f>ROUNDDOWN(D458773*30/D458759,0)</f>
        <v>270</v>
      </c>
    </row>
    <row r="458783" spans="4:4" x14ac:dyDescent="0.35">
      <c r="D458783" s="23">
        <f>D458782*2</f>
        <v>540</v>
      </c>
    </row>
    <row r="458784" spans="4:4" x14ac:dyDescent="0.35">
      <c r="D458784" s="23" t="s">
        <v>56</v>
      </c>
    </row>
    <row r="458785" spans="4:4" x14ac:dyDescent="0.35">
      <c r="D458785" s="23">
        <v>11</v>
      </c>
    </row>
    <row r="458786" spans="4:4" x14ac:dyDescent="0.35">
      <c r="D458786" s="23">
        <f>D458783*D458785</f>
        <v>5940</v>
      </c>
    </row>
    <row r="458787" spans="4:4" x14ac:dyDescent="0.35">
      <c r="D458787" s="24">
        <f>D458779+D458780</f>
        <v>35250</v>
      </c>
    </row>
    <row r="458788" spans="4:4" x14ac:dyDescent="0.35">
      <c r="D458788" s="25">
        <f xml:space="preserve"> D458762*(D458753+D458764+D458765+D458786)+ (1-D458762)*(D458786+D458753+D458764)</f>
        <v>6340</v>
      </c>
    </row>
    <row r="458789" spans="4:4" x14ac:dyDescent="0.35">
      <c r="D458789" s="26">
        <f>D458787-D458788</f>
        <v>28910</v>
      </c>
    </row>
    <row r="458790" spans="4:4" x14ac:dyDescent="0.35">
      <c r="D458790" s="27">
        <f>D458787/D458788%</f>
        <v>555.99369085173498</v>
      </c>
    </row>
    <row r="458791" spans="4:4" x14ac:dyDescent="0.35">
      <c r="D458791" s="28">
        <v>15</v>
      </c>
    </row>
    <row r="475135" spans="4:4" x14ac:dyDescent="0.35">
      <c r="D475135" s="9">
        <v>1</v>
      </c>
    </row>
    <row r="475136" spans="4:4" ht="15.5" x14ac:dyDescent="0.35">
      <c r="D475136" s="10" t="s">
        <v>52</v>
      </c>
    </row>
    <row r="475137" spans="4:4" x14ac:dyDescent="0.35">
      <c r="D475137" s="49">
        <f>D475138*O475138</f>
        <v>0</v>
      </c>
    </row>
    <row r="475138" spans="4:4" x14ac:dyDescent="0.35">
      <c r="D475138" s="11">
        <v>300</v>
      </c>
    </row>
    <row r="475139" spans="4:4" x14ac:dyDescent="0.35">
      <c r="D475139" s="12">
        <v>299.88</v>
      </c>
    </row>
    <row r="475140" spans="4:4" x14ac:dyDescent="0.35">
      <c r="D475140" s="13" t="s">
        <v>53</v>
      </c>
    </row>
    <row r="475141" spans="4:4" x14ac:dyDescent="0.35">
      <c r="D475141" s="11" t="s">
        <v>108</v>
      </c>
    </row>
    <row r="475142" spans="4:4" x14ac:dyDescent="0.35">
      <c r="D475142" s="13" t="s">
        <v>109</v>
      </c>
    </row>
    <row r="475143" spans="4:4" x14ac:dyDescent="0.35">
      <c r="D475143" s="13">
        <v>1</v>
      </c>
    </row>
    <row r="475144" spans="4:4" x14ac:dyDescent="0.35">
      <c r="D475144" s="13">
        <v>10000</v>
      </c>
    </row>
    <row r="475145" spans="4:4" x14ac:dyDescent="0.35">
      <c r="D475145" s="14">
        <v>0.3</v>
      </c>
    </row>
    <row r="475146" spans="4:4" x14ac:dyDescent="0.35">
      <c r="D475146" s="15">
        <v>0.4</v>
      </c>
    </row>
    <row r="475147" spans="4:4" x14ac:dyDescent="0.35">
      <c r="D475147" s="11">
        <v>4</v>
      </c>
    </row>
    <row r="475148" spans="4:4" x14ac:dyDescent="0.35">
      <c r="D475148" s="11">
        <f>D475147*30</f>
        <v>120</v>
      </c>
    </row>
    <row r="475149" spans="4:4" x14ac:dyDescent="0.35">
      <c r="D475149" s="11">
        <f>D475150*70</f>
        <v>700</v>
      </c>
    </row>
    <row r="475150" spans="4:4" x14ac:dyDescent="0.35">
      <c r="D475150" s="11">
        <v>10</v>
      </c>
    </row>
    <row r="475151" spans="4:4" x14ac:dyDescent="0.35">
      <c r="D475151" s="16" t="s">
        <v>54</v>
      </c>
    </row>
    <row r="475152" spans="4:4" x14ac:dyDescent="0.35">
      <c r="D475152" s="16">
        <v>10</v>
      </c>
    </row>
    <row r="475153" spans="4:4" x14ac:dyDescent="0.35">
      <c r="D475153" s="16" t="s">
        <v>55</v>
      </c>
    </row>
    <row r="475154" spans="4:4" x14ac:dyDescent="0.35">
      <c r="D475154" s="16">
        <v>50</v>
      </c>
    </row>
    <row r="475155" spans="4:4" x14ac:dyDescent="0.35">
      <c r="D475155" s="16">
        <v>7</v>
      </c>
    </row>
    <row r="475156" spans="4:4" x14ac:dyDescent="0.35">
      <c r="D475156" s="17">
        <f>ROUNDDOWN(D475158/D475155,0)</f>
        <v>38</v>
      </c>
    </row>
    <row r="475157" spans="4:4" x14ac:dyDescent="0.35">
      <c r="D475157" s="18">
        <v>9</v>
      </c>
    </row>
    <row r="475158" spans="4:4" x14ac:dyDescent="0.35">
      <c r="D475158" s="18">
        <f>D475157*30</f>
        <v>270</v>
      </c>
    </row>
    <row r="475159" spans="4:4" x14ac:dyDescent="0.35">
      <c r="D475159" s="19">
        <f>38*D475152</f>
        <v>380</v>
      </c>
    </row>
    <row r="475160" spans="4:4" x14ac:dyDescent="0.35">
      <c r="D475160" s="20">
        <v>50</v>
      </c>
    </row>
    <row r="475161" spans="4:4" x14ac:dyDescent="0.35">
      <c r="D475161" s="19">
        <v>50</v>
      </c>
    </row>
    <row r="475162" spans="4:4" x14ac:dyDescent="0.35">
      <c r="D475162" s="19">
        <v>325</v>
      </c>
    </row>
    <row r="475163" spans="4:4" x14ac:dyDescent="0.35">
      <c r="D475163" s="21">
        <f>D475159*D475160</f>
        <v>19000</v>
      </c>
    </row>
    <row r="475164" spans="4:4" x14ac:dyDescent="0.35">
      <c r="D475164" s="21">
        <f>D475161*D475162</f>
        <v>16250</v>
      </c>
    </row>
    <row r="475165" spans="4:4" x14ac:dyDescent="0.35">
      <c r="D475165" s="22">
        <v>1.3142499999999999</v>
      </c>
    </row>
    <row r="475166" spans="4:4" x14ac:dyDescent="0.35">
      <c r="D475166" s="23">
        <f>ROUNDDOWN(D475157*30/D475143,0)</f>
        <v>270</v>
      </c>
    </row>
    <row r="475167" spans="4:4" x14ac:dyDescent="0.35">
      <c r="D475167" s="23">
        <f>D475166*2</f>
        <v>540</v>
      </c>
    </row>
    <row r="475168" spans="4:4" x14ac:dyDescent="0.35">
      <c r="D475168" s="23" t="s">
        <v>56</v>
      </c>
    </row>
    <row r="475169" spans="4:4" x14ac:dyDescent="0.35">
      <c r="D475169" s="23">
        <v>11</v>
      </c>
    </row>
    <row r="475170" spans="4:4" x14ac:dyDescent="0.35">
      <c r="D475170" s="23">
        <f>D475167*D475169</f>
        <v>5940</v>
      </c>
    </row>
    <row r="475171" spans="4:4" x14ac:dyDescent="0.35">
      <c r="D475171" s="24">
        <f>D475163+D475164</f>
        <v>35250</v>
      </c>
    </row>
    <row r="475172" spans="4:4" x14ac:dyDescent="0.35">
      <c r="D475172" s="25">
        <f xml:space="preserve"> D475146*(D475137+D475148+D475149+D475170)+ (1-D475146)*(D475170+D475137+D475148)</f>
        <v>6340</v>
      </c>
    </row>
    <row r="475173" spans="4:4" x14ac:dyDescent="0.35">
      <c r="D475173" s="26">
        <f>D475171-D475172</f>
        <v>28910</v>
      </c>
    </row>
    <row r="475174" spans="4:4" x14ac:dyDescent="0.35">
      <c r="D475174" s="27">
        <f>D475171/D475172%</f>
        <v>555.99369085173498</v>
      </c>
    </row>
    <row r="475175" spans="4:4" x14ac:dyDescent="0.35">
      <c r="D475175" s="28">
        <v>15</v>
      </c>
    </row>
    <row r="491519" spans="4:4" x14ac:dyDescent="0.35">
      <c r="D491519" s="9">
        <v>1</v>
      </c>
    </row>
    <row r="491520" spans="4:4" ht="15.5" x14ac:dyDescent="0.35">
      <c r="D491520" s="10" t="s">
        <v>52</v>
      </c>
    </row>
    <row r="491521" spans="4:4" x14ac:dyDescent="0.35">
      <c r="D491521" s="49">
        <f>D491522*O491522</f>
        <v>0</v>
      </c>
    </row>
    <row r="491522" spans="4:4" x14ac:dyDescent="0.35">
      <c r="D491522" s="11">
        <v>300</v>
      </c>
    </row>
    <row r="491523" spans="4:4" x14ac:dyDescent="0.35">
      <c r="D491523" s="12">
        <v>299.88</v>
      </c>
    </row>
    <row r="491524" spans="4:4" x14ac:dyDescent="0.35">
      <c r="D491524" s="13" t="s">
        <v>53</v>
      </c>
    </row>
    <row r="491525" spans="4:4" x14ac:dyDescent="0.35">
      <c r="D491525" s="11" t="s">
        <v>108</v>
      </c>
    </row>
    <row r="491526" spans="4:4" x14ac:dyDescent="0.35">
      <c r="D491526" s="13" t="s">
        <v>109</v>
      </c>
    </row>
    <row r="491527" spans="4:4" x14ac:dyDescent="0.35">
      <c r="D491527" s="13">
        <v>1</v>
      </c>
    </row>
    <row r="491528" spans="4:4" x14ac:dyDescent="0.35">
      <c r="D491528" s="13">
        <v>10000</v>
      </c>
    </row>
    <row r="491529" spans="4:4" x14ac:dyDescent="0.35">
      <c r="D491529" s="14">
        <v>0.3</v>
      </c>
    </row>
    <row r="491530" spans="4:4" x14ac:dyDescent="0.35">
      <c r="D491530" s="15">
        <v>0.4</v>
      </c>
    </row>
    <row r="491531" spans="4:4" x14ac:dyDescent="0.35">
      <c r="D491531" s="11">
        <v>4</v>
      </c>
    </row>
    <row r="491532" spans="4:4" x14ac:dyDescent="0.35">
      <c r="D491532" s="11">
        <f>D491531*30</f>
        <v>120</v>
      </c>
    </row>
    <row r="491533" spans="4:4" x14ac:dyDescent="0.35">
      <c r="D491533" s="11">
        <f>D491534*70</f>
        <v>700</v>
      </c>
    </row>
    <row r="491534" spans="4:4" x14ac:dyDescent="0.35">
      <c r="D491534" s="11">
        <v>10</v>
      </c>
    </row>
    <row r="491535" spans="4:4" x14ac:dyDescent="0.35">
      <c r="D491535" s="16" t="s">
        <v>54</v>
      </c>
    </row>
    <row r="491536" spans="4:4" x14ac:dyDescent="0.35">
      <c r="D491536" s="16">
        <v>10</v>
      </c>
    </row>
    <row r="491537" spans="4:4" x14ac:dyDescent="0.35">
      <c r="D491537" s="16" t="s">
        <v>55</v>
      </c>
    </row>
    <row r="491538" spans="4:4" x14ac:dyDescent="0.35">
      <c r="D491538" s="16">
        <v>50</v>
      </c>
    </row>
    <row r="491539" spans="4:4" x14ac:dyDescent="0.35">
      <c r="D491539" s="16">
        <v>7</v>
      </c>
    </row>
    <row r="491540" spans="4:4" x14ac:dyDescent="0.35">
      <c r="D491540" s="17">
        <f>ROUNDDOWN(D491542/D491539,0)</f>
        <v>38</v>
      </c>
    </row>
    <row r="491541" spans="4:4" x14ac:dyDescent="0.35">
      <c r="D491541" s="18">
        <v>9</v>
      </c>
    </row>
    <row r="491542" spans="4:4" x14ac:dyDescent="0.35">
      <c r="D491542" s="18">
        <f>D491541*30</f>
        <v>270</v>
      </c>
    </row>
    <row r="491543" spans="4:4" x14ac:dyDescent="0.35">
      <c r="D491543" s="19">
        <f>38*D491536</f>
        <v>380</v>
      </c>
    </row>
    <row r="491544" spans="4:4" x14ac:dyDescent="0.35">
      <c r="D491544" s="20">
        <v>50</v>
      </c>
    </row>
    <row r="491545" spans="4:4" x14ac:dyDescent="0.35">
      <c r="D491545" s="19">
        <v>50</v>
      </c>
    </row>
    <row r="491546" spans="4:4" x14ac:dyDescent="0.35">
      <c r="D491546" s="19">
        <v>325</v>
      </c>
    </row>
    <row r="491547" spans="4:4" x14ac:dyDescent="0.35">
      <c r="D491547" s="21">
        <f>D491543*D491544</f>
        <v>19000</v>
      </c>
    </row>
    <row r="491548" spans="4:4" x14ac:dyDescent="0.35">
      <c r="D491548" s="21">
        <f>D491545*D491546</f>
        <v>16250</v>
      </c>
    </row>
    <row r="491549" spans="4:4" x14ac:dyDescent="0.35">
      <c r="D491549" s="22">
        <v>1.3142499999999999</v>
      </c>
    </row>
    <row r="491550" spans="4:4" x14ac:dyDescent="0.35">
      <c r="D491550" s="23">
        <f>ROUNDDOWN(D491541*30/D491527,0)</f>
        <v>270</v>
      </c>
    </row>
    <row r="491551" spans="4:4" x14ac:dyDescent="0.35">
      <c r="D491551" s="23">
        <f>D491550*2</f>
        <v>540</v>
      </c>
    </row>
    <row r="491552" spans="4:4" x14ac:dyDescent="0.35">
      <c r="D491552" s="23" t="s">
        <v>56</v>
      </c>
    </row>
    <row r="491553" spans="4:4" x14ac:dyDescent="0.35">
      <c r="D491553" s="23">
        <v>11</v>
      </c>
    </row>
    <row r="491554" spans="4:4" x14ac:dyDescent="0.35">
      <c r="D491554" s="23">
        <f>D491551*D491553</f>
        <v>5940</v>
      </c>
    </row>
    <row r="491555" spans="4:4" x14ac:dyDescent="0.35">
      <c r="D491555" s="24">
        <f>D491547+D491548</f>
        <v>35250</v>
      </c>
    </row>
    <row r="491556" spans="4:4" x14ac:dyDescent="0.35">
      <c r="D491556" s="25">
        <f xml:space="preserve"> D491530*(D491521+D491532+D491533+D491554)+ (1-D491530)*(D491554+D491521+D491532)</f>
        <v>6340</v>
      </c>
    </row>
    <row r="491557" spans="4:4" x14ac:dyDescent="0.35">
      <c r="D491557" s="26">
        <f>D491555-D491556</f>
        <v>28910</v>
      </c>
    </row>
    <row r="491558" spans="4:4" x14ac:dyDescent="0.35">
      <c r="D491558" s="27">
        <f>D491555/D491556%</f>
        <v>555.99369085173498</v>
      </c>
    </row>
    <row r="491559" spans="4:4" x14ac:dyDescent="0.35">
      <c r="D491559" s="28">
        <v>15</v>
      </c>
    </row>
    <row r="507903" spans="4:4" x14ac:dyDescent="0.35">
      <c r="D507903" s="9">
        <v>1</v>
      </c>
    </row>
    <row r="507904" spans="4:4" ht="15.5" x14ac:dyDescent="0.35">
      <c r="D507904" s="10" t="s">
        <v>52</v>
      </c>
    </row>
    <row r="507905" spans="4:4" x14ac:dyDescent="0.35">
      <c r="D507905" s="49">
        <f>D507906*O507906</f>
        <v>0</v>
      </c>
    </row>
    <row r="507906" spans="4:4" x14ac:dyDescent="0.35">
      <c r="D507906" s="11">
        <v>300</v>
      </c>
    </row>
    <row r="507907" spans="4:4" x14ac:dyDescent="0.35">
      <c r="D507907" s="12">
        <v>299.88</v>
      </c>
    </row>
    <row r="507908" spans="4:4" x14ac:dyDescent="0.35">
      <c r="D507908" s="13" t="s">
        <v>53</v>
      </c>
    </row>
    <row r="507909" spans="4:4" x14ac:dyDescent="0.35">
      <c r="D507909" s="11" t="s">
        <v>108</v>
      </c>
    </row>
    <row r="507910" spans="4:4" x14ac:dyDescent="0.35">
      <c r="D507910" s="13" t="s">
        <v>109</v>
      </c>
    </row>
    <row r="507911" spans="4:4" x14ac:dyDescent="0.35">
      <c r="D507911" s="13">
        <v>1</v>
      </c>
    </row>
    <row r="507912" spans="4:4" x14ac:dyDescent="0.35">
      <c r="D507912" s="13">
        <v>10000</v>
      </c>
    </row>
    <row r="507913" spans="4:4" x14ac:dyDescent="0.35">
      <c r="D507913" s="14">
        <v>0.3</v>
      </c>
    </row>
    <row r="507914" spans="4:4" x14ac:dyDescent="0.35">
      <c r="D507914" s="15">
        <v>0.4</v>
      </c>
    </row>
    <row r="507915" spans="4:4" x14ac:dyDescent="0.35">
      <c r="D507915" s="11">
        <v>4</v>
      </c>
    </row>
    <row r="507916" spans="4:4" x14ac:dyDescent="0.35">
      <c r="D507916" s="11">
        <f>D507915*30</f>
        <v>120</v>
      </c>
    </row>
    <row r="507917" spans="4:4" x14ac:dyDescent="0.35">
      <c r="D507917" s="11">
        <f>D507918*70</f>
        <v>700</v>
      </c>
    </row>
    <row r="507918" spans="4:4" x14ac:dyDescent="0.35">
      <c r="D507918" s="11">
        <v>10</v>
      </c>
    </row>
    <row r="507919" spans="4:4" x14ac:dyDescent="0.35">
      <c r="D507919" s="16" t="s">
        <v>54</v>
      </c>
    </row>
    <row r="507920" spans="4:4" x14ac:dyDescent="0.35">
      <c r="D507920" s="16">
        <v>10</v>
      </c>
    </row>
    <row r="507921" spans="4:4" x14ac:dyDescent="0.35">
      <c r="D507921" s="16" t="s">
        <v>55</v>
      </c>
    </row>
    <row r="507922" spans="4:4" x14ac:dyDescent="0.35">
      <c r="D507922" s="16">
        <v>50</v>
      </c>
    </row>
    <row r="507923" spans="4:4" x14ac:dyDescent="0.35">
      <c r="D507923" s="16">
        <v>7</v>
      </c>
    </row>
    <row r="507924" spans="4:4" x14ac:dyDescent="0.35">
      <c r="D507924" s="17">
        <f>ROUNDDOWN(D507926/D507923,0)</f>
        <v>38</v>
      </c>
    </row>
    <row r="507925" spans="4:4" x14ac:dyDescent="0.35">
      <c r="D507925" s="18">
        <v>9</v>
      </c>
    </row>
    <row r="507926" spans="4:4" x14ac:dyDescent="0.35">
      <c r="D507926" s="18">
        <f>D507925*30</f>
        <v>270</v>
      </c>
    </row>
    <row r="507927" spans="4:4" x14ac:dyDescent="0.35">
      <c r="D507927" s="19">
        <f>38*D507920</f>
        <v>380</v>
      </c>
    </row>
    <row r="507928" spans="4:4" x14ac:dyDescent="0.35">
      <c r="D507928" s="20">
        <v>50</v>
      </c>
    </row>
    <row r="507929" spans="4:4" x14ac:dyDescent="0.35">
      <c r="D507929" s="19">
        <v>50</v>
      </c>
    </row>
    <row r="507930" spans="4:4" x14ac:dyDescent="0.35">
      <c r="D507930" s="19">
        <v>325</v>
      </c>
    </row>
    <row r="507931" spans="4:4" x14ac:dyDescent="0.35">
      <c r="D507931" s="21">
        <f>D507927*D507928</f>
        <v>19000</v>
      </c>
    </row>
    <row r="507932" spans="4:4" x14ac:dyDescent="0.35">
      <c r="D507932" s="21">
        <f>D507929*D507930</f>
        <v>16250</v>
      </c>
    </row>
    <row r="507933" spans="4:4" x14ac:dyDescent="0.35">
      <c r="D507933" s="22">
        <v>1.3142499999999999</v>
      </c>
    </row>
    <row r="507934" spans="4:4" x14ac:dyDescent="0.35">
      <c r="D507934" s="23">
        <f>ROUNDDOWN(D507925*30/D507911,0)</f>
        <v>270</v>
      </c>
    </row>
    <row r="507935" spans="4:4" x14ac:dyDescent="0.35">
      <c r="D507935" s="23">
        <f>D507934*2</f>
        <v>540</v>
      </c>
    </row>
    <row r="507936" spans="4:4" x14ac:dyDescent="0.35">
      <c r="D507936" s="23" t="s">
        <v>56</v>
      </c>
    </row>
    <row r="507937" spans="4:4" x14ac:dyDescent="0.35">
      <c r="D507937" s="23">
        <v>11</v>
      </c>
    </row>
    <row r="507938" spans="4:4" x14ac:dyDescent="0.35">
      <c r="D507938" s="23">
        <f>D507935*D507937</f>
        <v>5940</v>
      </c>
    </row>
    <row r="507939" spans="4:4" x14ac:dyDescent="0.35">
      <c r="D507939" s="24">
        <f>D507931+D507932</f>
        <v>35250</v>
      </c>
    </row>
    <row r="507940" spans="4:4" x14ac:dyDescent="0.35">
      <c r="D507940" s="25">
        <f xml:space="preserve"> D507914*(D507905+D507916+D507917+D507938)+ (1-D507914)*(D507938+D507905+D507916)</f>
        <v>6340</v>
      </c>
    </row>
    <row r="507941" spans="4:4" x14ac:dyDescent="0.35">
      <c r="D507941" s="26">
        <f>D507939-D507940</f>
        <v>28910</v>
      </c>
    </row>
    <row r="507942" spans="4:4" x14ac:dyDescent="0.35">
      <c r="D507942" s="27">
        <f>D507939/D507940%</f>
        <v>555.99369085173498</v>
      </c>
    </row>
    <row r="507943" spans="4:4" x14ac:dyDescent="0.35">
      <c r="D507943" s="28">
        <v>15</v>
      </c>
    </row>
    <row r="524287" spans="4:4" x14ac:dyDescent="0.35">
      <c r="D524287" s="9">
        <v>1</v>
      </c>
    </row>
    <row r="524288" spans="4:4" ht="15.5" x14ac:dyDescent="0.35">
      <c r="D524288" s="10" t="s">
        <v>52</v>
      </c>
    </row>
    <row r="524289" spans="4:4" x14ac:dyDescent="0.35">
      <c r="D524289" s="49">
        <f>D524290*O524290</f>
        <v>0</v>
      </c>
    </row>
    <row r="524290" spans="4:4" x14ac:dyDescent="0.35">
      <c r="D524290" s="11">
        <v>300</v>
      </c>
    </row>
    <row r="524291" spans="4:4" x14ac:dyDescent="0.35">
      <c r="D524291" s="12">
        <v>299.88</v>
      </c>
    </row>
    <row r="524292" spans="4:4" x14ac:dyDescent="0.35">
      <c r="D524292" s="13" t="s">
        <v>53</v>
      </c>
    </row>
    <row r="524293" spans="4:4" x14ac:dyDescent="0.35">
      <c r="D524293" s="11" t="s">
        <v>108</v>
      </c>
    </row>
    <row r="524294" spans="4:4" x14ac:dyDescent="0.35">
      <c r="D524294" s="13" t="s">
        <v>109</v>
      </c>
    </row>
    <row r="524295" spans="4:4" x14ac:dyDescent="0.35">
      <c r="D524295" s="13">
        <v>1</v>
      </c>
    </row>
    <row r="524296" spans="4:4" x14ac:dyDescent="0.35">
      <c r="D524296" s="13">
        <v>10000</v>
      </c>
    </row>
    <row r="524297" spans="4:4" x14ac:dyDescent="0.35">
      <c r="D524297" s="14">
        <v>0.3</v>
      </c>
    </row>
    <row r="524298" spans="4:4" x14ac:dyDescent="0.35">
      <c r="D524298" s="15">
        <v>0.4</v>
      </c>
    </row>
    <row r="524299" spans="4:4" x14ac:dyDescent="0.35">
      <c r="D524299" s="11">
        <v>4</v>
      </c>
    </row>
    <row r="524300" spans="4:4" x14ac:dyDescent="0.35">
      <c r="D524300" s="11">
        <f>D524299*30</f>
        <v>120</v>
      </c>
    </row>
    <row r="524301" spans="4:4" x14ac:dyDescent="0.35">
      <c r="D524301" s="11">
        <f>D524302*70</f>
        <v>700</v>
      </c>
    </row>
    <row r="524302" spans="4:4" x14ac:dyDescent="0.35">
      <c r="D524302" s="11">
        <v>10</v>
      </c>
    </row>
    <row r="524303" spans="4:4" x14ac:dyDescent="0.35">
      <c r="D524303" s="16" t="s">
        <v>54</v>
      </c>
    </row>
    <row r="524304" spans="4:4" x14ac:dyDescent="0.35">
      <c r="D524304" s="16">
        <v>10</v>
      </c>
    </row>
    <row r="524305" spans="4:4" x14ac:dyDescent="0.35">
      <c r="D524305" s="16" t="s">
        <v>55</v>
      </c>
    </row>
    <row r="524306" spans="4:4" x14ac:dyDescent="0.35">
      <c r="D524306" s="16">
        <v>50</v>
      </c>
    </row>
    <row r="524307" spans="4:4" x14ac:dyDescent="0.35">
      <c r="D524307" s="16">
        <v>7</v>
      </c>
    </row>
    <row r="524308" spans="4:4" x14ac:dyDescent="0.35">
      <c r="D524308" s="17">
        <f>ROUNDDOWN(D524310/D524307,0)</f>
        <v>38</v>
      </c>
    </row>
    <row r="524309" spans="4:4" x14ac:dyDescent="0.35">
      <c r="D524309" s="18">
        <v>9</v>
      </c>
    </row>
    <row r="524310" spans="4:4" x14ac:dyDescent="0.35">
      <c r="D524310" s="18">
        <f>D524309*30</f>
        <v>270</v>
      </c>
    </row>
    <row r="524311" spans="4:4" x14ac:dyDescent="0.35">
      <c r="D524311" s="19">
        <f>38*D524304</f>
        <v>380</v>
      </c>
    </row>
    <row r="524312" spans="4:4" x14ac:dyDescent="0.35">
      <c r="D524312" s="20">
        <v>50</v>
      </c>
    </row>
    <row r="524313" spans="4:4" x14ac:dyDescent="0.35">
      <c r="D524313" s="19">
        <v>50</v>
      </c>
    </row>
    <row r="524314" spans="4:4" x14ac:dyDescent="0.35">
      <c r="D524314" s="19">
        <v>325</v>
      </c>
    </row>
    <row r="524315" spans="4:4" x14ac:dyDescent="0.35">
      <c r="D524315" s="21">
        <f>D524311*D524312</f>
        <v>19000</v>
      </c>
    </row>
    <row r="524316" spans="4:4" x14ac:dyDescent="0.35">
      <c r="D524316" s="21">
        <f>D524313*D524314</f>
        <v>16250</v>
      </c>
    </row>
    <row r="524317" spans="4:4" x14ac:dyDescent="0.35">
      <c r="D524317" s="22">
        <v>1.3142499999999999</v>
      </c>
    </row>
    <row r="524318" spans="4:4" x14ac:dyDescent="0.35">
      <c r="D524318" s="23">
        <f>ROUNDDOWN(D524309*30/D524295,0)</f>
        <v>270</v>
      </c>
    </row>
    <row r="524319" spans="4:4" x14ac:dyDescent="0.35">
      <c r="D524319" s="23">
        <f>D524318*2</f>
        <v>540</v>
      </c>
    </row>
    <row r="524320" spans="4:4" x14ac:dyDescent="0.35">
      <c r="D524320" s="23" t="s">
        <v>56</v>
      </c>
    </row>
    <row r="524321" spans="4:4" x14ac:dyDescent="0.35">
      <c r="D524321" s="23">
        <v>11</v>
      </c>
    </row>
    <row r="524322" spans="4:4" x14ac:dyDescent="0.35">
      <c r="D524322" s="23">
        <f>D524319*D524321</f>
        <v>5940</v>
      </c>
    </row>
    <row r="524323" spans="4:4" x14ac:dyDescent="0.35">
      <c r="D524323" s="24">
        <f>D524315+D524316</f>
        <v>35250</v>
      </c>
    </row>
    <row r="524324" spans="4:4" x14ac:dyDescent="0.35">
      <c r="D524324" s="25">
        <f xml:space="preserve"> D524298*(D524289+D524300+D524301+D524322)+ (1-D524298)*(D524322+D524289+D524300)</f>
        <v>6340</v>
      </c>
    </row>
    <row r="524325" spans="4:4" x14ac:dyDescent="0.35">
      <c r="D524325" s="26">
        <f>D524323-D524324</f>
        <v>28910</v>
      </c>
    </row>
    <row r="524326" spans="4:4" x14ac:dyDescent="0.35">
      <c r="D524326" s="27">
        <f>D524323/D524324%</f>
        <v>555.99369085173498</v>
      </c>
    </row>
    <row r="524327" spans="4:4" x14ac:dyDescent="0.35">
      <c r="D524327" s="28">
        <v>15</v>
      </c>
    </row>
    <row r="540671" spans="4:4" x14ac:dyDescent="0.35">
      <c r="D540671" s="9">
        <v>1</v>
      </c>
    </row>
    <row r="540672" spans="4:4" ht="15.5" x14ac:dyDescent="0.35">
      <c r="D540672" s="10" t="s">
        <v>52</v>
      </c>
    </row>
    <row r="540673" spans="4:4" x14ac:dyDescent="0.35">
      <c r="D540673" s="49">
        <f>D540674*O540674</f>
        <v>0</v>
      </c>
    </row>
    <row r="540674" spans="4:4" x14ac:dyDescent="0.35">
      <c r="D540674" s="11">
        <v>300</v>
      </c>
    </row>
    <row r="540675" spans="4:4" x14ac:dyDescent="0.35">
      <c r="D540675" s="12">
        <v>299.88</v>
      </c>
    </row>
    <row r="540676" spans="4:4" x14ac:dyDescent="0.35">
      <c r="D540676" s="13" t="s">
        <v>53</v>
      </c>
    </row>
    <row r="540677" spans="4:4" x14ac:dyDescent="0.35">
      <c r="D540677" s="11" t="s">
        <v>108</v>
      </c>
    </row>
    <row r="540678" spans="4:4" x14ac:dyDescent="0.35">
      <c r="D540678" s="13" t="s">
        <v>109</v>
      </c>
    </row>
    <row r="540679" spans="4:4" x14ac:dyDescent="0.35">
      <c r="D540679" s="13">
        <v>1</v>
      </c>
    </row>
    <row r="540680" spans="4:4" x14ac:dyDescent="0.35">
      <c r="D540680" s="13">
        <v>10000</v>
      </c>
    </row>
    <row r="540681" spans="4:4" x14ac:dyDescent="0.35">
      <c r="D540681" s="14">
        <v>0.3</v>
      </c>
    </row>
    <row r="540682" spans="4:4" x14ac:dyDescent="0.35">
      <c r="D540682" s="15">
        <v>0.4</v>
      </c>
    </row>
    <row r="540683" spans="4:4" x14ac:dyDescent="0.35">
      <c r="D540683" s="11">
        <v>4</v>
      </c>
    </row>
    <row r="540684" spans="4:4" x14ac:dyDescent="0.35">
      <c r="D540684" s="11">
        <f>D540683*30</f>
        <v>120</v>
      </c>
    </row>
    <row r="540685" spans="4:4" x14ac:dyDescent="0.35">
      <c r="D540685" s="11">
        <f>D540686*70</f>
        <v>700</v>
      </c>
    </row>
    <row r="540686" spans="4:4" x14ac:dyDescent="0.35">
      <c r="D540686" s="11">
        <v>10</v>
      </c>
    </row>
    <row r="540687" spans="4:4" x14ac:dyDescent="0.35">
      <c r="D540687" s="16" t="s">
        <v>54</v>
      </c>
    </row>
    <row r="540688" spans="4:4" x14ac:dyDescent="0.35">
      <c r="D540688" s="16">
        <v>10</v>
      </c>
    </row>
    <row r="540689" spans="4:4" x14ac:dyDescent="0.35">
      <c r="D540689" s="16" t="s">
        <v>55</v>
      </c>
    </row>
    <row r="540690" spans="4:4" x14ac:dyDescent="0.35">
      <c r="D540690" s="16">
        <v>50</v>
      </c>
    </row>
    <row r="540691" spans="4:4" x14ac:dyDescent="0.35">
      <c r="D540691" s="16">
        <v>7</v>
      </c>
    </row>
    <row r="540692" spans="4:4" x14ac:dyDescent="0.35">
      <c r="D540692" s="17">
        <f>ROUNDDOWN(D540694/D540691,0)</f>
        <v>38</v>
      </c>
    </row>
    <row r="540693" spans="4:4" x14ac:dyDescent="0.35">
      <c r="D540693" s="18">
        <v>9</v>
      </c>
    </row>
    <row r="540694" spans="4:4" x14ac:dyDescent="0.35">
      <c r="D540694" s="18">
        <f>D540693*30</f>
        <v>270</v>
      </c>
    </row>
    <row r="540695" spans="4:4" x14ac:dyDescent="0.35">
      <c r="D540695" s="19">
        <f>38*D540688</f>
        <v>380</v>
      </c>
    </row>
    <row r="540696" spans="4:4" x14ac:dyDescent="0.35">
      <c r="D540696" s="20">
        <v>50</v>
      </c>
    </row>
    <row r="540697" spans="4:4" x14ac:dyDescent="0.35">
      <c r="D540697" s="19">
        <v>50</v>
      </c>
    </row>
    <row r="540698" spans="4:4" x14ac:dyDescent="0.35">
      <c r="D540698" s="19">
        <v>325</v>
      </c>
    </row>
    <row r="540699" spans="4:4" x14ac:dyDescent="0.35">
      <c r="D540699" s="21">
        <f>D540695*D540696</f>
        <v>19000</v>
      </c>
    </row>
    <row r="540700" spans="4:4" x14ac:dyDescent="0.35">
      <c r="D540700" s="21">
        <f>D540697*D540698</f>
        <v>16250</v>
      </c>
    </row>
    <row r="540701" spans="4:4" x14ac:dyDescent="0.35">
      <c r="D540701" s="22">
        <v>1.3142499999999999</v>
      </c>
    </row>
    <row r="540702" spans="4:4" x14ac:dyDescent="0.35">
      <c r="D540702" s="23">
        <f>ROUNDDOWN(D540693*30/D540679,0)</f>
        <v>270</v>
      </c>
    </row>
    <row r="540703" spans="4:4" x14ac:dyDescent="0.35">
      <c r="D540703" s="23">
        <f>D540702*2</f>
        <v>540</v>
      </c>
    </row>
    <row r="540704" spans="4:4" x14ac:dyDescent="0.35">
      <c r="D540704" s="23" t="s">
        <v>56</v>
      </c>
    </row>
    <row r="540705" spans="4:4" x14ac:dyDescent="0.35">
      <c r="D540705" s="23">
        <v>11</v>
      </c>
    </row>
    <row r="540706" spans="4:4" x14ac:dyDescent="0.35">
      <c r="D540706" s="23">
        <f>D540703*D540705</f>
        <v>5940</v>
      </c>
    </row>
    <row r="540707" spans="4:4" x14ac:dyDescent="0.35">
      <c r="D540707" s="24">
        <f>D540699+D540700</f>
        <v>35250</v>
      </c>
    </row>
    <row r="540708" spans="4:4" x14ac:dyDescent="0.35">
      <c r="D540708" s="25">
        <f xml:space="preserve"> D540682*(D540673+D540684+D540685+D540706)+ (1-D540682)*(D540706+D540673+D540684)</f>
        <v>6340</v>
      </c>
    </row>
    <row r="540709" spans="4:4" x14ac:dyDescent="0.35">
      <c r="D540709" s="26">
        <f>D540707-D540708</f>
        <v>28910</v>
      </c>
    </row>
    <row r="540710" spans="4:4" x14ac:dyDescent="0.35">
      <c r="D540710" s="27">
        <f>D540707/D540708%</f>
        <v>555.99369085173498</v>
      </c>
    </row>
    <row r="540711" spans="4:4" x14ac:dyDescent="0.35">
      <c r="D540711" s="28">
        <v>15</v>
      </c>
    </row>
    <row r="557055" spans="4:4" x14ac:dyDescent="0.35">
      <c r="D557055" s="9">
        <v>1</v>
      </c>
    </row>
    <row r="557056" spans="4:4" ht="15.5" x14ac:dyDescent="0.35">
      <c r="D557056" s="10" t="s">
        <v>52</v>
      </c>
    </row>
    <row r="557057" spans="4:4" x14ac:dyDescent="0.35">
      <c r="D557057" s="49">
        <f>D557058*O557058</f>
        <v>0</v>
      </c>
    </row>
    <row r="557058" spans="4:4" x14ac:dyDescent="0.35">
      <c r="D557058" s="11">
        <v>300</v>
      </c>
    </row>
    <row r="557059" spans="4:4" x14ac:dyDescent="0.35">
      <c r="D557059" s="12">
        <v>299.88</v>
      </c>
    </row>
    <row r="557060" spans="4:4" x14ac:dyDescent="0.35">
      <c r="D557060" s="13" t="s">
        <v>53</v>
      </c>
    </row>
    <row r="557061" spans="4:4" x14ac:dyDescent="0.35">
      <c r="D557061" s="11" t="s">
        <v>108</v>
      </c>
    </row>
    <row r="557062" spans="4:4" x14ac:dyDescent="0.35">
      <c r="D557062" s="13" t="s">
        <v>109</v>
      </c>
    </row>
    <row r="557063" spans="4:4" x14ac:dyDescent="0.35">
      <c r="D557063" s="13">
        <v>1</v>
      </c>
    </row>
    <row r="557064" spans="4:4" x14ac:dyDescent="0.35">
      <c r="D557064" s="13">
        <v>10000</v>
      </c>
    </row>
    <row r="557065" spans="4:4" x14ac:dyDescent="0.35">
      <c r="D557065" s="14">
        <v>0.3</v>
      </c>
    </row>
    <row r="557066" spans="4:4" x14ac:dyDescent="0.35">
      <c r="D557066" s="15">
        <v>0.4</v>
      </c>
    </row>
    <row r="557067" spans="4:4" x14ac:dyDescent="0.35">
      <c r="D557067" s="11">
        <v>4</v>
      </c>
    </row>
    <row r="557068" spans="4:4" x14ac:dyDescent="0.35">
      <c r="D557068" s="11">
        <f>D557067*30</f>
        <v>120</v>
      </c>
    </row>
    <row r="557069" spans="4:4" x14ac:dyDescent="0.35">
      <c r="D557069" s="11">
        <f>D557070*70</f>
        <v>700</v>
      </c>
    </row>
    <row r="557070" spans="4:4" x14ac:dyDescent="0.35">
      <c r="D557070" s="11">
        <v>10</v>
      </c>
    </row>
    <row r="557071" spans="4:4" x14ac:dyDescent="0.35">
      <c r="D557071" s="16" t="s">
        <v>54</v>
      </c>
    </row>
    <row r="557072" spans="4:4" x14ac:dyDescent="0.35">
      <c r="D557072" s="16">
        <v>10</v>
      </c>
    </row>
    <row r="557073" spans="4:4" x14ac:dyDescent="0.35">
      <c r="D557073" s="16" t="s">
        <v>55</v>
      </c>
    </row>
    <row r="557074" spans="4:4" x14ac:dyDescent="0.35">
      <c r="D557074" s="16">
        <v>50</v>
      </c>
    </row>
    <row r="557075" spans="4:4" x14ac:dyDescent="0.35">
      <c r="D557075" s="16">
        <v>7</v>
      </c>
    </row>
    <row r="557076" spans="4:4" x14ac:dyDescent="0.35">
      <c r="D557076" s="17">
        <f>ROUNDDOWN(D557078/D557075,0)</f>
        <v>38</v>
      </c>
    </row>
    <row r="557077" spans="4:4" x14ac:dyDescent="0.35">
      <c r="D557077" s="18">
        <v>9</v>
      </c>
    </row>
    <row r="557078" spans="4:4" x14ac:dyDescent="0.35">
      <c r="D557078" s="18">
        <f>D557077*30</f>
        <v>270</v>
      </c>
    </row>
    <row r="557079" spans="4:4" x14ac:dyDescent="0.35">
      <c r="D557079" s="19">
        <f>38*D557072</f>
        <v>380</v>
      </c>
    </row>
    <row r="557080" spans="4:4" x14ac:dyDescent="0.35">
      <c r="D557080" s="20">
        <v>50</v>
      </c>
    </row>
    <row r="557081" spans="4:4" x14ac:dyDescent="0.35">
      <c r="D557081" s="19">
        <v>50</v>
      </c>
    </row>
    <row r="557082" spans="4:4" x14ac:dyDescent="0.35">
      <c r="D557082" s="19">
        <v>325</v>
      </c>
    </row>
    <row r="557083" spans="4:4" x14ac:dyDescent="0.35">
      <c r="D557083" s="21">
        <f>D557079*D557080</f>
        <v>19000</v>
      </c>
    </row>
    <row r="557084" spans="4:4" x14ac:dyDescent="0.35">
      <c r="D557084" s="21">
        <f>D557081*D557082</f>
        <v>16250</v>
      </c>
    </row>
    <row r="557085" spans="4:4" x14ac:dyDescent="0.35">
      <c r="D557085" s="22">
        <v>1.3142499999999999</v>
      </c>
    </row>
    <row r="557086" spans="4:4" x14ac:dyDescent="0.35">
      <c r="D557086" s="23">
        <f>ROUNDDOWN(D557077*30/D557063,0)</f>
        <v>270</v>
      </c>
    </row>
    <row r="557087" spans="4:4" x14ac:dyDescent="0.35">
      <c r="D557087" s="23">
        <f>D557086*2</f>
        <v>540</v>
      </c>
    </row>
    <row r="557088" spans="4:4" x14ac:dyDescent="0.35">
      <c r="D557088" s="23" t="s">
        <v>56</v>
      </c>
    </row>
    <row r="557089" spans="4:4" x14ac:dyDescent="0.35">
      <c r="D557089" s="23">
        <v>11</v>
      </c>
    </row>
    <row r="557090" spans="4:4" x14ac:dyDescent="0.35">
      <c r="D557090" s="23">
        <f>D557087*D557089</f>
        <v>5940</v>
      </c>
    </row>
    <row r="557091" spans="4:4" x14ac:dyDescent="0.35">
      <c r="D557091" s="24">
        <f>D557083+D557084</f>
        <v>35250</v>
      </c>
    </row>
    <row r="557092" spans="4:4" x14ac:dyDescent="0.35">
      <c r="D557092" s="25">
        <f xml:space="preserve"> D557066*(D557057+D557068+D557069+D557090)+ (1-D557066)*(D557090+D557057+D557068)</f>
        <v>6340</v>
      </c>
    </row>
    <row r="557093" spans="4:4" x14ac:dyDescent="0.35">
      <c r="D557093" s="26">
        <f>D557091-D557092</f>
        <v>28910</v>
      </c>
    </row>
    <row r="557094" spans="4:4" x14ac:dyDescent="0.35">
      <c r="D557094" s="27">
        <f>D557091/D557092%</f>
        <v>555.99369085173498</v>
      </c>
    </row>
    <row r="557095" spans="4:4" x14ac:dyDescent="0.35">
      <c r="D557095" s="28">
        <v>15</v>
      </c>
    </row>
    <row r="573439" spans="4:4" x14ac:dyDescent="0.35">
      <c r="D573439" s="9">
        <v>1</v>
      </c>
    </row>
    <row r="573440" spans="4:4" ht="15.5" x14ac:dyDescent="0.35">
      <c r="D573440" s="10" t="s">
        <v>52</v>
      </c>
    </row>
    <row r="573441" spans="4:4" x14ac:dyDescent="0.35">
      <c r="D573441" s="49">
        <f>D573442*O573442</f>
        <v>0</v>
      </c>
    </row>
    <row r="573442" spans="4:4" x14ac:dyDescent="0.35">
      <c r="D573442" s="11">
        <v>300</v>
      </c>
    </row>
    <row r="573443" spans="4:4" x14ac:dyDescent="0.35">
      <c r="D573443" s="12">
        <v>299.88</v>
      </c>
    </row>
    <row r="573444" spans="4:4" x14ac:dyDescent="0.35">
      <c r="D573444" s="13" t="s">
        <v>53</v>
      </c>
    </row>
    <row r="573445" spans="4:4" x14ac:dyDescent="0.35">
      <c r="D573445" s="11" t="s">
        <v>108</v>
      </c>
    </row>
    <row r="573446" spans="4:4" x14ac:dyDescent="0.35">
      <c r="D573446" s="13" t="s">
        <v>109</v>
      </c>
    </row>
    <row r="573447" spans="4:4" x14ac:dyDescent="0.35">
      <c r="D573447" s="13">
        <v>1</v>
      </c>
    </row>
    <row r="573448" spans="4:4" x14ac:dyDescent="0.35">
      <c r="D573448" s="13">
        <v>10000</v>
      </c>
    </row>
    <row r="573449" spans="4:4" x14ac:dyDescent="0.35">
      <c r="D573449" s="14">
        <v>0.3</v>
      </c>
    </row>
    <row r="573450" spans="4:4" x14ac:dyDescent="0.35">
      <c r="D573450" s="15">
        <v>0.4</v>
      </c>
    </row>
    <row r="573451" spans="4:4" x14ac:dyDescent="0.35">
      <c r="D573451" s="11">
        <v>4</v>
      </c>
    </row>
    <row r="573452" spans="4:4" x14ac:dyDescent="0.35">
      <c r="D573452" s="11">
        <f>D573451*30</f>
        <v>120</v>
      </c>
    </row>
    <row r="573453" spans="4:4" x14ac:dyDescent="0.35">
      <c r="D573453" s="11">
        <f>D573454*70</f>
        <v>700</v>
      </c>
    </row>
    <row r="573454" spans="4:4" x14ac:dyDescent="0.35">
      <c r="D573454" s="11">
        <v>10</v>
      </c>
    </row>
    <row r="573455" spans="4:4" x14ac:dyDescent="0.35">
      <c r="D573455" s="16" t="s">
        <v>54</v>
      </c>
    </row>
    <row r="573456" spans="4:4" x14ac:dyDescent="0.35">
      <c r="D573456" s="16">
        <v>10</v>
      </c>
    </row>
    <row r="573457" spans="4:4" x14ac:dyDescent="0.35">
      <c r="D573457" s="16" t="s">
        <v>55</v>
      </c>
    </row>
    <row r="573458" spans="4:4" x14ac:dyDescent="0.35">
      <c r="D573458" s="16">
        <v>50</v>
      </c>
    </row>
    <row r="573459" spans="4:4" x14ac:dyDescent="0.35">
      <c r="D573459" s="16">
        <v>7</v>
      </c>
    </row>
    <row r="573460" spans="4:4" x14ac:dyDescent="0.35">
      <c r="D573460" s="17">
        <f>ROUNDDOWN(D573462/D573459,0)</f>
        <v>38</v>
      </c>
    </row>
    <row r="573461" spans="4:4" x14ac:dyDescent="0.35">
      <c r="D573461" s="18">
        <v>9</v>
      </c>
    </row>
    <row r="573462" spans="4:4" x14ac:dyDescent="0.35">
      <c r="D573462" s="18">
        <f>D573461*30</f>
        <v>270</v>
      </c>
    </row>
    <row r="573463" spans="4:4" x14ac:dyDescent="0.35">
      <c r="D573463" s="19">
        <f>38*D573456</f>
        <v>380</v>
      </c>
    </row>
    <row r="573464" spans="4:4" x14ac:dyDescent="0.35">
      <c r="D573464" s="20">
        <v>50</v>
      </c>
    </row>
    <row r="573465" spans="4:4" x14ac:dyDescent="0.35">
      <c r="D573465" s="19">
        <v>50</v>
      </c>
    </row>
    <row r="573466" spans="4:4" x14ac:dyDescent="0.35">
      <c r="D573466" s="19">
        <v>325</v>
      </c>
    </row>
    <row r="573467" spans="4:4" x14ac:dyDescent="0.35">
      <c r="D573467" s="21">
        <f>D573463*D573464</f>
        <v>19000</v>
      </c>
    </row>
    <row r="573468" spans="4:4" x14ac:dyDescent="0.35">
      <c r="D573468" s="21">
        <f>D573465*D573466</f>
        <v>16250</v>
      </c>
    </row>
    <row r="573469" spans="4:4" x14ac:dyDescent="0.35">
      <c r="D573469" s="22">
        <v>1.3142499999999999</v>
      </c>
    </row>
    <row r="573470" spans="4:4" x14ac:dyDescent="0.35">
      <c r="D573470" s="23">
        <f>ROUNDDOWN(D573461*30/D573447,0)</f>
        <v>270</v>
      </c>
    </row>
    <row r="573471" spans="4:4" x14ac:dyDescent="0.35">
      <c r="D573471" s="23">
        <f>D573470*2</f>
        <v>540</v>
      </c>
    </row>
    <row r="573472" spans="4:4" x14ac:dyDescent="0.35">
      <c r="D573472" s="23" t="s">
        <v>56</v>
      </c>
    </row>
    <row r="573473" spans="4:4" x14ac:dyDescent="0.35">
      <c r="D573473" s="23">
        <v>11</v>
      </c>
    </row>
    <row r="573474" spans="4:4" x14ac:dyDescent="0.35">
      <c r="D573474" s="23">
        <f>D573471*D573473</f>
        <v>5940</v>
      </c>
    </row>
    <row r="573475" spans="4:4" x14ac:dyDescent="0.35">
      <c r="D573475" s="24">
        <f>D573467+D573468</f>
        <v>35250</v>
      </c>
    </row>
    <row r="573476" spans="4:4" x14ac:dyDescent="0.35">
      <c r="D573476" s="25">
        <f xml:space="preserve"> D573450*(D573441+D573452+D573453+D573474)+ (1-D573450)*(D573474+D573441+D573452)</f>
        <v>6340</v>
      </c>
    </row>
    <row r="573477" spans="4:4" x14ac:dyDescent="0.35">
      <c r="D573477" s="26">
        <f>D573475-D573476</f>
        <v>28910</v>
      </c>
    </row>
    <row r="573478" spans="4:4" x14ac:dyDescent="0.35">
      <c r="D573478" s="27">
        <f>D573475/D573476%</f>
        <v>555.99369085173498</v>
      </c>
    </row>
    <row r="573479" spans="4:4" x14ac:dyDescent="0.35">
      <c r="D573479" s="28">
        <v>15</v>
      </c>
    </row>
    <row r="589823" spans="4:4" x14ac:dyDescent="0.35">
      <c r="D589823" s="9">
        <v>1</v>
      </c>
    </row>
    <row r="589824" spans="4:4" ht="15.5" x14ac:dyDescent="0.35">
      <c r="D589824" s="10" t="s">
        <v>52</v>
      </c>
    </row>
    <row r="589825" spans="4:4" x14ac:dyDescent="0.35">
      <c r="D589825" s="49">
        <f>D589826*O589826</f>
        <v>0</v>
      </c>
    </row>
    <row r="589826" spans="4:4" x14ac:dyDescent="0.35">
      <c r="D589826" s="11">
        <v>300</v>
      </c>
    </row>
    <row r="589827" spans="4:4" x14ac:dyDescent="0.35">
      <c r="D589827" s="12">
        <v>299.88</v>
      </c>
    </row>
    <row r="589828" spans="4:4" x14ac:dyDescent="0.35">
      <c r="D589828" s="13" t="s">
        <v>53</v>
      </c>
    </row>
    <row r="589829" spans="4:4" x14ac:dyDescent="0.35">
      <c r="D589829" s="11" t="s">
        <v>108</v>
      </c>
    </row>
    <row r="589830" spans="4:4" x14ac:dyDescent="0.35">
      <c r="D589830" s="13" t="s">
        <v>109</v>
      </c>
    </row>
    <row r="589831" spans="4:4" x14ac:dyDescent="0.35">
      <c r="D589831" s="13">
        <v>1</v>
      </c>
    </row>
    <row r="589832" spans="4:4" x14ac:dyDescent="0.35">
      <c r="D589832" s="13">
        <v>10000</v>
      </c>
    </row>
    <row r="589833" spans="4:4" x14ac:dyDescent="0.35">
      <c r="D589833" s="14">
        <v>0.3</v>
      </c>
    </row>
    <row r="589834" spans="4:4" x14ac:dyDescent="0.35">
      <c r="D589834" s="15">
        <v>0.4</v>
      </c>
    </row>
    <row r="589835" spans="4:4" x14ac:dyDescent="0.35">
      <c r="D589835" s="11">
        <v>4</v>
      </c>
    </row>
    <row r="589836" spans="4:4" x14ac:dyDescent="0.35">
      <c r="D589836" s="11">
        <f>D589835*30</f>
        <v>120</v>
      </c>
    </row>
    <row r="589837" spans="4:4" x14ac:dyDescent="0.35">
      <c r="D589837" s="11">
        <f>D589838*70</f>
        <v>700</v>
      </c>
    </row>
    <row r="589838" spans="4:4" x14ac:dyDescent="0.35">
      <c r="D589838" s="11">
        <v>10</v>
      </c>
    </row>
    <row r="589839" spans="4:4" x14ac:dyDescent="0.35">
      <c r="D589839" s="16" t="s">
        <v>54</v>
      </c>
    </row>
    <row r="589840" spans="4:4" x14ac:dyDescent="0.35">
      <c r="D589840" s="16">
        <v>10</v>
      </c>
    </row>
    <row r="589841" spans="4:4" x14ac:dyDescent="0.35">
      <c r="D589841" s="16" t="s">
        <v>55</v>
      </c>
    </row>
    <row r="589842" spans="4:4" x14ac:dyDescent="0.35">
      <c r="D589842" s="16">
        <v>50</v>
      </c>
    </row>
    <row r="589843" spans="4:4" x14ac:dyDescent="0.35">
      <c r="D589843" s="16">
        <v>7</v>
      </c>
    </row>
    <row r="589844" spans="4:4" x14ac:dyDescent="0.35">
      <c r="D589844" s="17">
        <f>ROUNDDOWN(D589846/D589843,0)</f>
        <v>38</v>
      </c>
    </row>
    <row r="589845" spans="4:4" x14ac:dyDescent="0.35">
      <c r="D589845" s="18">
        <v>9</v>
      </c>
    </row>
    <row r="589846" spans="4:4" x14ac:dyDescent="0.35">
      <c r="D589846" s="18">
        <f>D589845*30</f>
        <v>270</v>
      </c>
    </row>
    <row r="589847" spans="4:4" x14ac:dyDescent="0.35">
      <c r="D589847" s="19">
        <f>38*D589840</f>
        <v>380</v>
      </c>
    </row>
    <row r="589848" spans="4:4" x14ac:dyDescent="0.35">
      <c r="D589848" s="20">
        <v>50</v>
      </c>
    </row>
    <row r="589849" spans="4:4" x14ac:dyDescent="0.35">
      <c r="D589849" s="19">
        <v>50</v>
      </c>
    </row>
    <row r="589850" spans="4:4" x14ac:dyDescent="0.35">
      <c r="D589850" s="19">
        <v>325</v>
      </c>
    </row>
    <row r="589851" spans="4:4" x14ac:dyDescent="0.35">
      <c r="D589851" s="21">
        <f>D589847*D589848</f>
        <v>19000</v>
      </c>
    </row>
    <row r="589852" spans="4:4" x14ac:dyDescent="0.35">
      <c r="D589852" s="21">
        <f>D589849*D589850</f>
        <v>16250</v>
      </c>
    </row>
    <row r="589853" spans="4:4" x14ac:dyDescent="0.35">
      <c r="D589853" s="22">
        <v>1.3142499999999999</v>
      </c>
    </row>
    <row r="589854" spans="4:4" x14ac:dyDescent="0.35">
      <c r="D589854" s="23">
        <f>ROUNDDOWN(D589845*30/D589831,0)</f>
        <v>270</v>
      </c>
    </row>
    <row r="589855" spans="4:4" x14ac:dyDescent="0.35">
      <c r="D589855" s="23">
        <f>D589854*2</f>
        <v>540</v>
      </c>
    </row>
    <row r="589856" spans="4:4" x14ac:dyDescent="0.35">
      <c r="D589856" s="23" t="s">
        <v>56</v>
      </c>
    </row>
    <row r="589857" spans="4:4" x14ac:dyDescent="0.35">
      <c r="D589857" s="23">
        <v>11</v>
      </c>
    </row>
    <row r="589858" spans="4:4" x14ac:dyDescent="0.35">
      <c r="D589858" s="23">
        <f>D589855*D589857</f>
        <v>5940</v>
      </c>
    </row>
    <row r="589859" spans="4:4" x14ac:dyDescent="0.35">
      <c r="D589859" s="24">
        <f>D589851+D589852</f>
        <v>35250</v>
      </c>
    </row>
    <row r="589860" spans="4:4" x14ac:dyDescent="0.35">
      <c r="D589860" s="25">
        <f xml:space="preserve"> D589834*(D589825+D589836+D589837+D589858)+ (1-D589834)*(D589858+D589825+D589836)</f>
        <v>6340</v>
      </c>
    </row>
    <row r="589861" spans="4:4" x14ac:dyDescent="0.35">
      <c r="D589861" s="26">
        <f>D589859-D589860</f>
        <v>28910</v>
      </c>
    </row>
    <row r="589862" spans="4:4" x14ac:dyDescent="0.35">
      <c r="D589862" s="27">
        <f>D589859/D589860%</f>
        <v>555.99369085173498</v>
      </c>
    </row>
    <row r="589863" spans="4:4" x14ac:dyDescent="0.35">
      <c r="D589863" s="28">
        <v>15</v>
      </c>
    </row>
    <row r="606207" spans="4:4" x14ac:dyDescent="0.35">
      <c r="D606207" s="9">
        <v>1</v>
      </c>
    </row>
    <row r="606208" spans="4:4" ht="15.5" x14ac:dyDescent="0.35">
      <c r="D606208" s="10" t="s">
        <v>52</v>
      </c>
    </row>
    <row r="606209" spans="4:4" x14ac:dyDescent="0.35">
      <c r="D606209" s="49">
        <f>D606210*O606210</f>
        <v>0</v>
      </c>
    </row>
    <row r="606210" spans="4:4" x14ac:dyDescent="0.35">
      <c r="D606210" s="11">
        <v>300</v>
      </c>
    </row>
    <row r="606211" spans="4:4" x14ac:dyDescent="0.35">
      <c r="D606211" s="12">
        <v>299.88</v>
      </c>
    </row>
    <row r="606212" spans="4:4" x14ac:dyDescent="0.35">
      <c r="D606212" s="13" t="s">
        <v>53</v>
      </c>
    </row>
    <row r="606213" spans="4:4" x14ac:dyDescent="0.35">
      <c r="D606213" s="11" t="s">
        <v>108</v>
      </c>
    </row>
    <row r="606214" spans="4:4" x14ac:dyDescent="0.35">
      <c r="D606214" s="13" t="s">
        <v>109</v>
      </c>
    </row>
    <row r="606215" spans="4:4" x14ac:dyDescent="0.35">
      <c r="D606215" s="13">
        <v>1</v>
      </c>
    </row>
    <row r="606216" spans="4:4" x14ac:dyDescent="0.35">
      <c r="D606216" s="13">
        <v>10000</v>
      </c>
    </row>
    <row r="606217" spans="4:4" x14ac:dyDescent="0.35">
      <c r="D606217" s="14">
        <v>0.3</v>
      </c>
    </row>
    <row r="606218" spans="4:4" x14ac:dyDescent="0.35">
      <c r="D606218" s="15">
        <v>0.4</v>
      </c>
    </row>
    <row r="606219" spans="4:4" x14ac:dyDescent="0.35">
      <c r="D606219" s="11">
        <v>4</v>
      </c>
    </row>
    <row r="606220" spans="4:4" x14ac:dyDescent="0.35">
      <c r="D606220" s="11">
        <f>D606219*30</f>
        <v>120</v>
      </c>
    </row>
    <row r="606221" spans="4:4" x14ac:dyDescent="0.35">
      <c r="D606221" s="11">
        <f>D606222*70</f>
        <v>700</v>
      </c>
    </row>
    <row r="606222" spans="4:4" x14ac:dyDescent="0.35">
      <c r="D606222" s="11">
        <v>10</v>
      </c>
    </row>
    <row r="606223" spans="4:4" x14ac:dyDescent="0.35">
      <c r="D606223" s="16" t="s">
        <v>54</v>
      </c>
    </row>
    <row r="606224" spans="4:4" x14ac:dyDescent="0.35">
      <c r="D606224" s="16">
        <v>10</v>
      </c>
    </row>
    <row r="606225" spans="4:4" x14ac:dyDescent="0.35">
      <c r="D606225" s="16" t="s">
        <v>55</v>
      </c>
    </row>
    <row r="606226" spans="4:4" x14ac:dyDescent="0.35">
      <c r="D606226" s="16">
        <v>50</v>
      </c>
    </row>
    <row r="606227" spans="4:4" x14ac:dyDescent="0.35">
      <c r="D606227" s="16">
        <v>7</v>
      </c>
    </row>
    <row r="606228" spans="4:4" x14ac:dyDescent="0.35">
      <c r="D606228" s="17">
        <f>ROUNDDOWN(D606230/D606227,0)</f>
        <v>38</v>
      </c>
    </row>
    <row r="606229" spans="4:4" x14ac:dyDescent="0.35">
      <c r="D606229" s="18">
        <v>9</v>
      </c>
    </row>
    <row r="606230" spans="4:4" x14ac:dyDescent="0.35">
      <c r="D606230" s="18">
        <f>D606229*30</f>
        <v>270</v>
      </c>
    </row>
    <row r="606231" spans="4:4" x14ac:dyDescent="0.35">
      <c r="D606231" s="19">
        <f>38*D606224</f>
        <v>380</v>
      </c>
    </row>
    <row r="606232" spans="4:4" x14ac:dyDescent="0.35">
      <c r="D606232" s="20">
        <v>50</v>
      </c>
    </row>
    <row r="606233" spans="4:4" x14ac:dyDescent="0.35">
      <c r="D606233" s="19">
        <v>50</v>
      </c>
    </row>
    <row r="606234" spans="4:4" x14ac:dyDescent="0.35">
      <c r="D606234" s="19">
        <v>325</v>
      </c>
    </row>
    <row r="606235" spans="4:4" x14ac:dyDescent="0.35">
      <c r="D606235" s="21">
        <f>D606231*D606232</f>
        <v>19000</v>
      </c>
    </row>
    <row r="606236" spans="4:4" x14ac:dyDescent="0.35">
      <c r="D606236" s="21">
        <f>D606233*D606234</f>
        <v>16250</v>
      </c>
    </row>
    <row r="606237" spans="4:4" x14ac:dyDescent="0.35">
      <c r="D606237" s="22">
        <v>1.3142499999999999</v>
      </c>
    </row>
    <row r="606238" spans="4:4" x14ac:dyDescent="0.35">
      <c r="D606238" s="23">
        <f>ROUNDDOWN(D606229*30/D606215,0)</f>
        <v>270</v>
      </c>
    </row>
    <row r="606239" spans="4:4" x14ac:dyDescent="0.35">
      <c r="D606239" s="23">
        <f>D606238*2</f>
        <v>540</v>
      </c>
    </row>
    <row r="606240" spans="4:4" x14ac:dyDescent="0.35">
      <c r="D606240" s="23" t="s">
        <v>56</v>
      </c>
    </row>
    <row r="606241" spans="4:4" x14ac:dyDescent="0.35">
      <c r="D606241" s="23">
        <v>11</v>
      </c>
    </row>
    <row r="606242" spans="4:4" x14ac:dyDescent="0.35">
      <c r="D606242" s="23">
        <f>D606239*D606241</f>
        <v>5940</v>
      </c>
    </row>
    <row r="606243" spans="4:4" x14ac:dyDescent="0.35">
      <c r="D606243" s="24">
        <f>D606235+D606236</f>
        <v>35250</v>
      </c>
    </row>
    <row r="606244" spans="4:4" x14ac:dyDescent="0.35">
      <c r="D606244" s="25">
        <f xml:space="preserve"> D606218*(D606209+D606220+D606221+D606242)+ (1-D606218)*(D606242+D606209+D606220)</f>
        <v>6340</v>
      </c>
    </row>
    <row r="606245" spans="4:4" x14ac:dyDescent="0.35">
      <c r="D606245" s="26">
        <f>D606243-D606244</f>
        <v>28910</v>
      </c>
    </row>
    <row r="606246" spans="4:4" x14ac:dyDescent="0.35">
      <c r="D606246" s="27">
        <f>D606243/D606244%</f>
        <v>555.99369085173498</v>
      </c>
    </row>
    <row r="606247" spans="4:4" x14ac:dyDescent="0.35">
      <c r="D606247" s="28">
        <v>15</v>
      </c>
    </row>
    <row r="622591" spans="4:4" x14ac:dyDescent="0.35">
      <c r="D622591" s="9">
        <v>1</v>
      </c>
    </row>
    <row r="622592" spans="4:4" ht="15.5" x14ac:dyDescent="0.35">
      <c r="D622592" s="10" t="s">
        <v>52</v>
      </c>
    </row>
    <row r="622593" spans="4:4" x14ac:dyDescent="0.35">
      <c r="D622593" s="49">
        <f>D622594*O622594</f>
        <v>0</v>
      </c>
    </row>
    <row r="622594" spans="4:4" x14ac:dyDescent="0.35">
      <c r="D622594" s="11">
        <v>300</v>
      </c>
    </row>
    <row r="622595" spans="4:4" x14ac:dyDescent="0.35">
      <c r="D622595" s="12">
        <v>299.88</v>
      </c>
    </row>
    <row r="622596" spans="4:4" x14ac:dyDescent="0.35">
      <c r="D622596" s="13" t="s">
        <v>53</v>
      </c>
    </row>
    <row r="622597" spans="4:4" x14ac:dyDescent="0.35">
      <c r="D622597" s="11" t="s">
        <v>108</v>
      </c>
    </row>
    <row r="622598" spans="4:4" x14ac:dyDescent="0.35">
      <c r="D622598" s="13" t="s">
        <v>109</v>
      </c>
    </row>
    <row r="622599" spans="4:4" x14ac:dyDescent="0.35">
      <c r="D622599" s="13">
        <v>1</v>
      </c>
    </row>
    <row r="622600" spans="4:4" x14ac:dyDescent="0.35">
      <c r="D622600" s="13">
        <v>10000</v>
      </c>
    </row>
    <row r="622601" spans="4:4" x14ac:dyDescent="0.35">
      <c r="D622601" s="14">
        <v>0.3</v>
      </c>
    </row>
    <row r="622602" spans="4:4" x14ac:dyDescent="0.35">
      <c r="D622602" s="15">
        <v>0.4</v>
      </c>
    </row>
    <row r="622603" spans="4:4" x14ac:dyDescent="0.35">
      <c r="D622603" s="11">
        <v>4</v>
      </c>
    </row>
    <row r="622604" spans="4:4" x14ac:dyDescent="0.35">
      <c r="D622604" s="11">
        <f>D622603*30</f>
        <v>120</v>
      </c>
    </row>
    <row r="622605" spans="4:4" x14ac:dyDescent="0.35">
      <c r="D622605" s="11">
        <f>D622606*70</f>
        <v>700</v>
      </c>
    </row>
    <row r="622606" spans="4:4" x14ac:dyDescent="0.35">
      <c r="D622606" s="11">
        <v>10</v>
      </c>
    </row>
    <row r="622607" spans="4:4" x14ac:dyDescent="0.35">
      <c r="D622607" s="16" t="s">
        <v>54</v>
      </c>
    </row>
    <row r="622608" spans="4:4" x14ac:dyDescent="0.35">
      <c r="D622608" s="16">
        <v>10</v>
      </c>
    </row>
    <row r="622609" spans="4:4" x14ac:dyDescent="0.35">
      <c r="D622609" s="16" t="s">
        <v>55</v>
      </c>
    </row>
    <row r="622610" spans="4:4" x14ac:dyDescent="0.35">
      <c r="D622610" s="16">
        <v>50</v>
      </c>
    </row>
    <row r="622611" spans="4:4" x14ac:dyDescent="0.35">
      <c r="D622611" s="16">
        <v>7</v>
      </c>
    </row>
    <row r="622612" spans="4:4" x14ac:dyDescent="0.35">
      <c r="D622612" s="17">
        <f>ROUNDDOWN(D622614/D622611,0)</f>
        <v>38</v>
      </c>
    </row>
    <row r="622613" spans="4:4" x14ac:dyDescent="0.35">
      <c r="D622613" s="18">
        <v>9</v>
      </c>
    </row>
    <row r="622614" spans="4:4" x14ac:dyDescent="0.35">
      <c r="D622614" s="18">
        <f>D622613*30</f>
        <v>270</v>
      </c>
    </row>
    <row r="622615" spans="4:4" x14ac:dyDescent="0.35">
      <c r="D622615" s="19">
        <f>38*D622608</f>
        <v>380</v>
      </c>
    </row>
    <row r="622616" spans="4:4" x14ac:dyDescent="0.35">
      <c r="D622616" s="20">
        <v>50</v>
      </c>
    </row>
    <row r="622617" spans="4:4" x14ac:dyDescent="0.35">
      <c r="D622617" s="19">
        <v>50</v>
      </c>
    </row>
    <row r="622618" spans="4:4" x14ac:dyDescent="0.35">
      <c r="D622618" s="19">
        <v>325</v>
      </c>
    </row>
    <row r="622619" spans="4:4" x14ac:dyDescent="0.35">
      <c r="D622619" s="21">
        <f>D622615*D622616</f>
        <v>19000</v>
      </c>
    </row>
    <row r="622620" spans="4:4" x14ac:dyDescent="0.35">
      <c r="D622620" s="21">
        <f>D622617*D622618</f>
        <v>16250</v>
      </c>
    </row>
    <row r="622621" spans="4:4" x14ac:dyDescent="0.35">
      <c r="D622621" s="22">
        <v>1.3142499999999999</v>
      </c>
    </row>
    <row r="622622" spans="4:4" x14ac:dyDescent="0.35">
      <c r="D622622" s="23">
        <f>ROUNDDOWN(D622613*30/D622599,0)</f>
        <v>270</v>
      </c>
    </row>
    <row r="622623" spans="4:4" x14ac:dyDescent="0.35">
      <c r="D622623" s="23">
        <f>D622622*2</f>
        <v>540</v>
      </c>
    </row>
    <row r="622624" spans="4:4" x14ac:dyDescent="0.35">
      <c r="D622624" s="23" t="s">
        <v>56</v>
      </c>
    </row>
    <row r="622625" spans="4:4" x14ac:dyDescent="0.35">
      <c r="D622625" s="23">
        <v>11</v>
      </c>
    </row>
    <row r="622626" spans="4:4" x14ac:dyDescent="0.35">
      <c r="D622626" s="23">
        <f>D622623*D622625</f>
        <v>5940</v>
      </c>
    </row>
    <row r="622627" spans="4:4" x14ac:dyDescent="0.35">
      <c r="D622627" s="24">
        <f>D622619+D622620</f>
        <v>35250</v>
      </c>
    </row>
    <row r="622628" spans="4:4" x14ac:dyDescent="0.35">
      <c r="D622628" s="25">
        <f xml:space="preserve"> D622602*(D622593+D622604+D622605+D622626)+ (1-D622602)*(D622626+D622593+D622604)</f>
        <v>6340</v>
      </c>
    </row>
    <row r="622629" spans="4:4" x14ac:dyDescent="0.35">
      <c r="D622629" s="26">
        <f>D622627-D622628</f>
        <v>28910</v>
      </c>
    </row>
    <row r="622630" spans="4:4" x14ac:dyDescent="0.35">
      <c r="D622630" s="27">
        <f>D622627/D622628%</f>
        <v>555.99369085173498</v>
      </c>
    </row>
    <row r="622631" spans="4:4" x14ac:dyDescent="0.35">
      <c r="D622631" s="28">
        <v>15</v>
      </c>
    </row>
    <row r="638975" spans="4:4" x14ac:dyDescent="0.35">
      <c r="D638975" s="9">
        <v>1</v>
      </c>
    </row>
    <row r="638976" spans="4:4" ht="15.5" x14ac:dyDescent="0.35">
      <c r="D638976" s="10" t="s">
        <v>52</v>
      </c>
    </row>
    <row r="638977" spans="4:4" x14ac:dyDescent="0.35">
      <c r="D638977" s="49">
        <f>D638978*O638978</f>
        <v>0</v>
      </c>
    </row>
    <row r="638978" spans="4:4" x14ac:dyDescent="0.35">
      <c r="D638978" s="11">
        <v>300</v>
      </c>
    </row>
    <row r="638979" spans="4:4" x14ac:dyDescent="0.35">
      <c r="D638979" s="12">
        <v>299.88</v>
      </c>
    </row>
    <row r="638980" spans="4:4" x14ac:dyDescent="0.35">
      <c r="D638980" s="13" t="s">
        <v>53</v>
      </c>
    </row>
    <row r="638981" spans="4:4" x14ac:dyDescent="0.35">
      <c r="D638981" s="11" t="s">
        <v>108</v>
      </c>
    </row>
    <row r="638982" spans="4:4" x14ac:dyDescent="0.35">
      <c r="D638982" s="13" t="s">
        <v>109</v>
      </c>
    </row>
    <row r="638983" spans="4:4" x14ac:dyDescent="0.35">
      <c r="D638983" s="13">
        <v>1</v>
      </c>
    </row>
    <row r="638984" spans="4:4" x14ac:dyDescent="0.35">
      <c r="D638984" s="13">
        <v>10000</v>
      </c>
    </row>
    <row r="638985" spans="4:4" x14ac:dyDescent="0.35">
      <c r="D638985" s="14">
        <v>0.3</v>
      </c>
    </row>
    <row r="638986" spans="4:4" x14ac:dyDescent="0.35">
      <c r="D638986" s="15">
        <v>0.4</v>
      </c>
    </row>
    <row r="638987" spans="4:4" x14ac:dyDescent="0.35">
      <c r="D638987" s="11">
        <v>4</v>
      </c>
    </row>
    <row r="638988" spans="4:4" x14ac:dyDescent="0.35">
      <c r="D638988" s="11">
        <f>D638987*30</f>
        <v>120</v>
      </c>
    </row>
    <row r="638989" spans="4:4" x14ac:dyDescent="0.35">
      <c r="D638989" s="11">
        <f>D638990*70</f>
        <v>700</v>
      </c>
    </row>
    <row r="638990" spans="4:4" x14ac:dyDescent="0.35">
      <c r="D638990" s="11">
        <v>10</v>
      </c>
    </row>
    <row r="638991" spans="4:4" x14ac:dyDescent="0.35">
      <c r="D638991" s="16" t="s">
        <v>54</v>
      </c>
    </row>
    <row r="638992" spans="4:4" x14ac:dyDescent="0.35">
      <c r="D638992" s="16">
        <v>10</v>
      </c>
    </row>
    <row r="638993" spans="4:4" x14ac:dyDescent="0.35">
      <c r="D638993" s="16" t="s">
        <v>55</v>
      </c>
    </row>
    <row r="638994" spans="4:4" x14ac:dyDescent="0.35">
      <c r="D638994" s="16">
        <v>50</v>
      </c>
    </row>
    <row r="638995" spans="4:4" x14ac:dyDescent="0.35">
      <c r="D638995" s="16">
        <v>7</v>
      </c>
    </row>
    <row r="638996" spans="4:4" x14ac:dyDescent="0.35">
      <c r="D638996" s="17">
        <f>ROUNDDOWN(D638998/D638995,0)</f>
        <v>38</v>
      </c>
    </row>
    <row r="638997" spans="4:4" x14ac:dyDescent="0.35">
      <c r="D638997" s="18">
        <v>9</v>
      </c>
    </row>
    <row r="638998" spans="4:4" x14ac:dyDescent="0.35">
      <c r="D638998" s="18">
        <f>D638997*30</f>
        <v>270</v>
      </c>
    </row>
    <row r="638999" spans="4:4" x14ac:dyDescent="0.35">
      <c r="D638999" s="19">
        <f>38*D638992</f>
        <v>380</v>
      </c>
    </row>
    <row r="639000" spans="4:4" x14ac:dyDescent="0.35">
      <c r="D639000" s="20">
        <v>50</v>
      </c>
    </row>
    <row r="639001" spans="4:4" x14ac:dyDescent="0.35">
      <c r="D639001" s="19">
        <v>50</v>
      </c>
    </row>
    <row r="639002" spans="4:4" x14ac:dyDescent="0.35">
      <c r="D639002" s="19">
        <v>325</v>
      </c>
    </row>
    <row r="639003" spans="4:4" x14ac:dyDescent="0.35">
      <c r="D639003" s="21">
        <f>D638999*D639000</f>
        <v>19000</v>
      </c>
    </row>
    <row r="639004" spans="4:4" x14ac:dyDescent="0.35">
      <c r="D639004" s="21">
        <f>D639001*D639002</f>
        <v>16250</v>
      </c>
    </row>
    <row r="639005" spans="4:4" x14ac:dyDescent="0.35">
      <c r="D639005" s="22">
        <v>1.3142499999999999</v>
      </c>
    </row>
    <row r="639006" spans="4:4" x14ac:dyDescent="0.35">
      <c r="D639006" s="23">
        <f>ROUNDDOWN(D638997*30/D638983,0)</f>
        <v>270</v>
      </c>
    </row>
    <row r="639007" spans="4:4" x14ac:dyDescent="0.35">
      <c r="D639007" s="23">
        <f>D639006*2</f>
        <v>540</v>
      </c>
    </row>
    <row r="639008" spans="4:4" x14ac:dyDescent="0.35">
      <c r="D639008" s="23" t="s">
        <v>56</v>
      </c>
    </row>
    <row r="639009" spans="4:4" x14ac:dyDescent="0.35">
      <c r="D639009" s="23">
        <v>11</v>
      </c>
    </row>
    <row r="639010" spans="4:4" x14ac:dyDescent="0.35">
      <c r="D639010" s="23">
        <f>D639007*D639009</f>
        <v>5940</v>
      </c>
    </row>
    <row r="639011" spans="4:4" x14ac:dyDescent="0.35">
      <c r="D639011" s="24">
        <f>D639003+D639004</f>
        <v>35250</v>
      </c>
    </row>
    <row r="639012" spans="4:4" x14ac:dyDescent="0.35">
      <c r="D639012" s="25">
        <f xml:space="preserve"> D638986*(D638977+D638988+D638989+D639010)+ (1-D638986)*(D639010+D638977+D638988)</f>
        <v>6340</v>
      </c>
    </row>
    <row r="639013" spans="4:4" x14ac:dyDescent="0.35">
      <c r="D639013" s="26">
        <f>D639011-D639012</f>
        <v>28910</v>
      </c>
    </row>
    <row r="639014" spans="4:4" x14ac:dyDescent="0.35">
      <c r="D639014" s="27">
        <f>D639011/D639012%</f>
        <v>555.99369085173498</v>
      </c>
    </row>
    <row r="639015" spans="4:4" x14ac:dyDescent="0.35">
      <c r="D639015" s="28">
        <v>15</v>
      </c>
    </row>
    <row r="655359" spans="4:4" x14ac:dyDescent="0.35">
      <c r="D655359" s="9">
        <v>1</v>
      </c>
    </row>
    <row r="655360" spans="4:4" ht="15.5" x14ac:dyDescent="0.35">
      <c r="D655360" s="10" t="s">
        <v>52</v>
      </c>
    </row>
    <row r="655361" spans="4:4" x14ac:dyDescent="0.35">
      <c r="D655361" s="49">
        <f>D655362*O655362</f>
        <v>0</v>
      </c>
    </row>
    <row r="655362" spans="4:4" x14ac:dyDescent="0.35">
      <c r="D655362" s="11">
        <v>300</v>
      </c>
    </row>
    <row r="655363" spans="4:4" x14ac:dyDescent="0.35">
      <c r="D655363" s="12">
        <v>299.88</v>
      </c>
    </row>
    <row r="655364" spans="4:4" x14ac:dyDescent="0.35">
      <c r="D655364" s="13" t="s">
        <v>53</v>
      </c>
    </row>
    <row r="655365" spans="4:4" x14ac:dyDescent="0.35">
      <c r="D655365" s="11" t="s">
        <v>108</v>
      </c>
    </row>
    <row r="655366" spans="4:4" x14ac:dyDescent="0.35">
      <c r="D655366" s="13" t="s">
        <v>109</v>
      </c>
    </row>
    <row r="655367" spans="4:4" x14ac:dyDescent="0.35">
      <c r="D655367" s="13">
        <v>1</v>
      </c>
    </row>
    <row r="655368" spans="4:4" x14ac:dyDescent="0.35">
      <c r="D655368" s="13">
        <v>10000</v>
      </c>
    </row>
    <row r="655369" spans="4:4" x14ac:dyDescent="0.35">
      <c r="D655369" s="14">
        <v>0.3</v>
      </c>
    </row>
    <row r="655370" spans="4:4" x14ac:dyDescent="0.35">
      <c r="D655370" s="15">
        <v>0.4</v>
      </c>
    </row>
    <row r="655371" spans="4:4" x14ac:dyDescent="0.35">
      <c r="D655371" s="11">
        <v>4</v>
      </c>
    </row>
    <row r="655372" spans="4:4" x14ac:dyDescent="0.35">
      <c r="D655372" s="11">
        <f>D655371*30</f>
        <v>120</v>
      </c>
    </row>
    <row r="655373" spans="4:4" x14ac:dyDescent="0.35">
      <c r="D655373" s="11">
        <f>D655374*70</f>
        <v>700</v>
      </c>
    </row>
    <row r="655374" spans="4:4" x14ac:dyDescent="0.35">
      <c r="D655374" s="11">
        <v>10</v>
      </c>
    </row>
    <row r="655375" spans="4:4" x14ac:dyDescent="0.35">
      <c r="D655375" s="16" t="s">
        <v>54</v>
      </c>
    </row>
    <row r="655376" spans="4:4" x14ac:dyDescent="0.35">
      <c r="D655376" s="16">
        <v>10</v>
      </c>
    </row>
    <row r="655377" spans="4:4" x14ac:dyDescent="0.35">
      <c r="D655377" s="16" t="s">
        <v>55</v>
      </c>
    </row>
    <row r="655378" spans="4:4" x14ac:dyDescent="0.35">
      <c r="D655378" s="16">
        <v>50</v>
      </c>
    </row>
    <row r="655379" spans="4:4" x14ac:dyDescent="0.35">
      <c r="D655379" s="16">
        <v>7</v>
      </c>
    </row>
    <row r="655380" spans="4:4" x14ac:dyDescent="0.35">
      <c r="D655380" s="17">
        <f>ROUNDDOWN(D655382/D655379,0)</f>
        <v>38</v>
      </c>
    </row>
    <row r="655381" spans="4:4" x14ac:dyDescent="0.35">
      <c r="D655381" s="18">
        <v>9</v>
      </c>
    </row>
    <row r="655382" spans="4:4" x14ac:dyDescent="0.35">
      <c r="D655382" s="18">
        <f>D655381*30</f>
        <v>270</v>
      </c>
    </row>
    <row r="655383" spans="4:4" x14ac:dyDescent="0.35">
      <c r="D655383" s="19">
        <f>38*D655376</f>
        <v>380</v>
      </c>
    </row>
    <row r="655384" spans="4:4" x14ac:dyDescent="0.35">
      <c r="D655384" s="20">
        <v>50</v>
      </c>
    </row>
    <row r="655385" spans="4:4" x14ac:dyDescent="0.35">
      <c r="D655385" s="19">
        <v>50</v>
      </c>
    </row>
    <row r="655386" spans="4:4" x14ac:dyDescent="0.35">
      <c r="D655386" s="19">
        <v>325</v>
      </c>
    </row>
    <row r="655387" spans="4:4" x14ac:dyDescent="0.35">
      <c r="D655387" s="21">
        <f>D655383*D655384</f>
        <v>19000</v>
      </c>
    </row>
    <row r="655388" spans="4:4" x14ac:dyDescent="0.35">
      <c r="D655388" s="21">
        <f>D655385*D655386</f>
        <v>16250</v>
      </c>
    </row>
    <row r="655389" spans="4:4" x14ac:dyDescent="0.35">
      <c r="D655389" s="22">
        <v>1.3142499999999999</v>
      </c>
    </row>
    <row r="655390" spans="4:4" x14ac:dyDescent="0.35">
      <c r="D655390" s="23">
        <f>ROUNDDOWN(D655381*30/D655367,0)</f>
        <v>270</v>
      </c>
    </row>
    <row r="655391" spans="4:4" x14ac:dyDescent="0.35">
      <c r="D655391" s="23">
        <f>D655390*2</f>
        <v>540</v>
      </c>
    </row>
    <row r="655392" spans="4:4" x14ac:dyDescent="0.35">
      <c r="D655392" s="23" t="s">
        <v>56</v>
      </c>
    </row>
    <row r="655393" spans="4:4" x14ac:dyDescent="0.35">
      <c r="D655393" s="23">
        <v>11</v>
      </c>
    </row>
    <row r="655394" spans="4:4" x14ac:dyDescent="0.35">
      <c r="D655394" s="23">
        <f>D655391*D655393</f>
        <v>5940</v>
      </c>
    </row>
    <row r="655395" spans="4:4" x14ac:dyDescent="0.35">
      <c r="D655395" s="24">
        <f>D655387+D655388</f>
        <v>35250</v>
      </c>
    </row>
    <row r="655396" spans="4:4" x14ac:dyDescent="0.35">
      <c r="D655396" s="25">
        <f xml:space="preserve"> D655370*(D655361+D655372+D655373+D655394)+ (1-D655370)*(D655394+D655361+D655372)</f>
        <v>6340</v>
      </c>
    </row>
    <row r="655397" spans="4:4" x14ac:dyDescent="0.35">
      <c r="D655397" s="26">
        <f>D655395-D655396</f>
        <v>28910</v>
      </c>
    </row>
    <row r="655398" spans="4:4" x14ac:dyDescent="0.35">
      <c r="D655398" s="27">
        <f>D655395/D655396%</f>
        <v>555.99369085173498</v>
      </c>
    </row>
    <row r="655399" spans="4:4" x14ac:dyDescent="0.35">
      <c r="D655399" s="28">
        <v>15</v>
      </c>
    </row>
    <row r="671743" spans="4:4" x14ac:dyDescent="0.35">
      <c r="D671743" s="9">
        <v>1</v>
      </c>
    </row>
    <row r="671744" spans="4:4" ht="15.5" x14ac:dyDescent="0.35">
      <c r="D671744" s="10" t="s">
        <v>52</v>
      </c>
    </row>
    <row r="671745" spans="4:4" x14ac:dyDescent="0.35">
      <c r="D671745" s="49">
        <f>D671746*O671746</f>
        <v>0</v>
      </c>
    </row>
    <row r="671746" spans="4:4" x14ac:dyDescent="0.35">
      <c r="D671746" s="11">
        <v>300</v>
      </c>
    </row>
    <row r="671747" spans="4:4" x14ac:dyDescent="0.35">
      <c r="D671747" s="12">
        <v>299.88</v>
      </c>
    </row>
    <row r="671748" spans="4:4" x14ac:dyDescent="0.35">
      <c r="D671748" s="13" t="s">
        <v>53</v>
      </c>
    </row>
    <row r="671749" spans="4:4" x14ac:dyDescent="0.35">
      <c r="D671749" s="11" t="s">
        <v>108</v>
      </c>
    </row>
    <row r="671750" spans="4:4" x14ac:dyDescent="0.35">
      <c r="D671750" s="13" t="s">
        <v>109</v>
      </c>
    </row>
    <row r="671751" spans="4:4" x14ac:dyDescent="0.35">
      <c r="D671751" s="13">
        <v>1</v>
      </c>
    </row>
    <row r="671752" spans="4:4" x14ac:dyDescent="0.35">
      <c r="D671752" s="13">
        <v>10000</v>
      </c>
    </row>
    <row r="671753" spans="4:4" x14ac:dyDescent="0.35">
      <c r="D671753" s="14">
        <v>0.3</v>
      </c>
    </row>
    <row r="671754" spans="4:4" x14ac:dyDescent="0.35">
      <c r="D671754" s="15">
        <v>0.4</v>
      </c>
    </row>
    <row r="671755" spans="4:4" x14ac:dyDescent="0.35">
      <c r="D671755" s="11">
        <v>4</v>
      </c>
    </row>
    <row r="671756" spans="4:4" x14ac:dyDescent="0.35">
      <c r="D671756" s="11">
        <f>D671755*30</f>
        <v>120</v>
      </c>
    </row>
    <row r="671757" spans="4:4" x14ac:dyDescent="0.35">
      <c r="D671757" s="11">
        <f>D671758*70</f>
        <v>700</v>
      </c>
    </row>
    <row r="671758" spans="4:4" x14ac:dyDescent="0.35">
      <c r="D671758" s="11">
        <v>10</v>
      </c>
    </row>
    <row r="671759" spans="4:4" x14ac:dyDescent="0.35">
      <c r="D671759" s="16" t="s">
        <v>54</v>
      </c>
    </row>
    <row r="671760" spans="4:4" x14ac:dyDescent="0.35">
      <c r="D671760" s="16">
        <v>10</v>
      </c>
    </row>
    <row r="671761" spans="4:4" x14ac:dyDescent="0.35">
      <c r="D671761" s="16" t="s">
        <v>55</v>
      </c>
    </row>
    <row r="671762" spans="4:4" x14ac:dyDescent="0.35">
      <c r="D671762" s="16">
        <v>50</v>
      </c>
    </row>
    <row r="671763" spans="4:4" x14ac:dyDescent="0.35">
      <c r="D671763" s="16">
        <v>7</v>
      </c>
    </row>
    <row r="671764" spans="4:4" x14ac:dyDescent="0.35">
      <c r="D671764" s="17">
        <f>ROUNDDOWN(D671766/D671763,0)</f>
        <v>38</v>
      </c>
    </row>
    <row r="671765" spans="4:4" x14ac:dyDescent="0.35">
      <c r="D671765" s="18">
        <v>9</v>
      </c>
    </row>
    <row r="671766" spans="4:4" x14ac:dyDescent="0.35">
      <c r="D671766" s="18">
        <f>D671765*30</f>
        <v>270</v>
      </c>
    </row>
    <row r="671767" spans="4:4" x14ac:dyDescent="0.35">
      <c r="D671767" s="19">
        <f>38*D671760</f>
        <v>380</v>
      </c>
    </row>
    <row r="671768" spans="4:4" x14ac:dyDescent="0.35">
      <c r="D671768" s="20">
        <v>50</v>
      </c>
    </row>
    <row r="671769" spans="4:4" x14ac:dyDescent="0.35">
      <c r="D671769" s="19">
        <v>50</v>
      </c>
    </row>
    <row r="671770" spans="4:4" x14ac:dyDescent="0.35">
      <c r="D671770" s="19">
        <v>325</v>
      </c>
    </row>
    <row r="671771" spans="4:4" x14ac:dyDescent="0.35">
      <c r="D671771" s="21">
        <f>D671767*D671768</f>
        <v>19000</v>
      </c>
    </row>
    <row r="671772" spans="4:4" x14ac:dyDescent="0.35">
      <c r="D671772" s="21">
        <f>D671769*D671770</f>
        <v>16250</v>
      </c>
    </row>
    <row r="671773" spans="4:4" x14ac:dyDescent="0.35">
      <c r="D671773" s="22">
        <v>1.3142499999999999</v>
      </c>
    </row>
    <row r="671774" spans="4:4" x14ac:dyDescent="0.35">
      <c r="D671774" s="23">
        <f>ROUNDDOWN(D671765*30/D671751,0)</f>
        <v>270</v>
      </c>
    </row>
    <row r="671775" spans="4:4" x14ac:dyDescent="0.35">
      <c r="D671775" s="23">
        <f>D671774*2</f>
        <v>540</v>
      </c>
    </row>
    <row r="671776" spans="4:4" x14ac:dyDescent="0.35">
      <c r="D671776" s="23" t="s">
        <v>56</v>
      </c>
    </row>
    <row r="671777" spans="4:4" x14ac:dyDescent="0.35">
      <c r="D671777" s="23">
        <v>11</v>
      </c>
    </row>
    <row r="671778" spans="4:4" x14ac:dyDescent="0.35">
      <c r="D671778" s="23">
        <f>D671775*D671777</f>
        <v>5940</v>
      </c>
    </row>
    <row r="671779" spans="4:4" x14ac:dyDescent="0.35">
      <c r="D671779" s="24">
        <f>D671771+D671772</f>
        <v>35250</v>
      </c>
    </row>
    <row r="671780" spans="4:4" x14ac:dyDescent="0.35">
      <c r="D671780" s="25">
        <f xml:space="preserve"> D671754*(D671745+D671756+D671757+D671778)+ (1-D671754)*(D671778+D671745+D671756)</f>
        <v>6340</v>
      </c>
    </row>
    <row r="671781" spans="4:4" x14ac:dyDescent="0.35">
      <c r="D671781" s="26">
        <f>D671779-D671780</f>
        <v>28910</v>
      </c>
    </row>
    <row r="671782" spans="4:4" x14ac:dyDescent="0.35">
      <c r="D671782" s="27">
        <f>D671779/D671780%</f>
        <v>555.99369085173498</v>
      </c>
    </row>
    <row r="671783" spans="4:4" x14ac:dyDescent="0.35">
      <c r="D671783" s="28">
        <v>15</v>
      </c>
    </row>
    <row r="688127" spans="4:4" x14ac:dyDescent="0.35">
      <c r="D688127" s="9">
        <v>1</v>
      </c>
    </row>
    <row r="688128" spans="4:4" ht="15.5" x14ac:dyDescent="0.35">
      <c r="D688128" s="10" t="s">
        <v>52</v>
      </c>
    </row>
    <row r="688129" spans="4:4" x14ac:dyDescent="0.35">
      <c r="D688129" s="49">
        <f>D688130*O688130</f>
        <v>0</v>
      </c>
    </row>
    <row r="688130" spans="4:4" x14ac:dyDescent="0.35">
      <c r="D688130" s="11">
        <v>300</v>
      </c>
    </row>
    <row r="688131" spans="4:4" x14ac:dyDescent="0.35">
      <c r="D688131" s="12">
        <v>299.88</v>
      </c>
    </row>
    <row r="688132" spans="4:4" x14ac:dyDescent="0.35">
      <c r="D688132" s="13" t="s">
        <v>53</v>
      </c>
    </row>
    <row r="688133" spans="4:4" x14ac:dyDescent="0.35">
      <c r="D688133" s="11" t="s">
        <v>108</v>
      </c>
    </row>
    <row r="688134" spans="4:4" x14ac:dyDescent="0.35">
      <c r="D688134" s="13" t="s">
        <v>109</v>
      </c>
    </row>
    <row r="688135" spans="4:4" x14ac:dyDescent="0.35">
      <c r="D688135" s="13">
        <v>1</v>
      </c>
    </row>
    <row r="688136" spans="4:4" x14ac:dyDescent="0.35">
      <c r="D688136" s="13">
        <v>10000</v>
      </c>
    </row>
    <row r="688137" spans="4:4" x14ac:dyDescent="0.35">
      <c r="D688137" s="14">
        <v>0.3</v>
      </c>
    </row>
    <row r="688138" spans="4:4" x14ac:dyDescent="0.35">
      <c r="D688138" s="15">
        <v>0.4</v>
      </c>
    </row>
    <row r="688139" spans="4:4" x14ac:dyDescent="0.35">
      <c r="D688139" s="11">
        <v>4</v>
      </c>
    </row>
    <row r="688140" spans="4:4" x14ac:dyDescent="0.35">
      <c r="D688140" s="11">
        <f>D688139*30</f>
        <v>120</v>
      </c>
    </row>
    <row r="688141" spans="4:4" x14ac:dyDescent="0.35">
      <c r="D688141" s="11">
        <f>D688142*70</f>
        <v>700</v>
      </c>
    </row>
    <row r="688142" spans="4:4" x14ac:dyDescent="0.35">
      <c r="D688142" s="11">
        <v>10</v>
      </c>
    </row>
    <row r="688143" spans="4:4" x14ac:dyDescent="0.35">
      <c r="D688143" s="16" t="s">
        <v>54</v>
      </c>
    </row>
    <row r="688144" spans="4:4" x14ac:dyDescent="0.35">
      <c r="D688144" s="16">
        <v>10</v>
      </c>
    </row>
    <row r="688145" spans="4:4" x14ac:dyDescent="0.35">
      <c r="D688145" s="16" t="s">
        <v>55</v>
      </c>
    </row>
    <row r="688146" spans="4:4" x14ac:dyDescent="0.35">
      <c r="D688146" s="16">
        <v>50</v>
      </c>
    </row>
    <row r="688147" spans="4:4" x14ac:dyDescent="0.35">
      <c r="D688147" s="16">
        <v>7</v>
      </c>
    </row>
    <row r="688148" spans="4:4" x14ac:dyDescent="0.35">
      <c r="D688148" s="17">
        <f>ROUNDDOWN(D688150/D688147,0)</f>
        <v>38</v>
      </c>
    </row>
    <row r="688149" spans="4:4" x14ac:dyDescent="0.35">
      <c r="D688149" s="18">
        <v>9</v>
      </c>
    </row>
    <row r="688150" spans="4:4" x14ac:dyDescent="0.35">
      <c r="D688150" s="18">
        <f>D688149*30</f>
        <v>270</v>
      </c>
    </row>
    <row r="688151" spans="4:4" x14ac:dyDescent="0.35">
      <c r="D688151" s="19">
        <f>38*D688144</f>
        <v>380</v>
      </c>
    </row>
    <row r="688152" spans="4:4" x14ac:dyDescent="0.35">
      <c r="D688152" s="20">
        <v>50</v>
      </c>
    </row>
    <row r="688153" spans="4:4" x14ac:dyDescent="0.35">
      <c r="D688153" s="19">
        <v>50</v>
      </c>
    </row>
    <row r="688154" spans="4:4" x14ac:dyDescent="0.35">
      <c r="D688154" s="19">
        <v>325</v>
      </c>
    </row>
    <row r="688155" spans="4:4" x14ac:dyDescent="0.35">
      <c r="D688155" s="21">
        <f>D688151*D688152</f>
        <v>19000</v>
      </c>
    </row>
    <row r="688156" spans="4:4" x14ac:dyDescent="0.35">
      <c r="D688156" s="21">
        <f>D688153*D688154</f>
        <v>16250</v>
      </c>
    </row>
    <row r="688157" spans="4:4" x14ac:dyDescent="0.35">
      <c r="D688157" s="22">
        <v>1.3142499999999999</v>
      </c>
    </row>
    <row r="688158" spans="4:4" x14ac:dyDescent="0.35">
      <c r="D688158" s="23">
        <f>ROUNDDOWN(D688149*30/D688135,0)</f>
        <v>270</v>
      </c>
    </row>
    <row r="688159" spans="4:4" x14ac:dyDescent="0.35">
      <c r="D688159" s="23">
        <f>D688158*2</f>
        <v>540</v>
      </c>
    </row>
    <row r="688160" spans="4:4" x14ac:dyDescent="0.35">
      <c r="D688160" s="23" t="s">
        <v>56</v>
      </c>
    </row>
    <row r="688161" spans="4:4" x14ac:dyDescent="0.35">
      <c r="D688161" s="23">
        <v>11</v>
      </c>
    </row>
    <row r="688162" spans="4:4" x14ac:dyDescent="0.35">
      <c r="D688162" s="23">
        <f>D688159*D688161</f>
        <v>5940</v>
      </c>
    </row>
    <row r="688163" spans="4:4" x14ac:dyDescent="0.35">
      <c r="D688163" s="24">
        <f>D688155+D688156</f>
        <v>35250</v>
      </c>
    </row>
    <row r="688164" spans="4:4" x14ac:dyDescent="0.35">
      <c r="D688164" s="25">
        <f xml:space="preserve"> D688138*(D688129+D688140+D688141+D688162)+ (1-D688138)*(D688162+D688129+D688140)</f>
        <v>6340</v>
      </c>
    </row>
    <row r="688165" spans="4:4" x14ac:dyDescent="0.35">
      <c r="D688165" s="26">
        <f>D688163-D688164</f>
        <v>28910</v>
      </c>
    </row>
    <row r="688166" spans="4:4" x14ac:dyDescent="0.35">
      <c r="D688166" s="27">
        <f>D688163/D688164%</f>
        <v>555.99369085173498</v>
      </c>
    </row>
    <row r="688167" spans="4:4" x14ac:dyDescent="0.35">
      <c r="D688167" s="28">
        <v>15</v>
      </c>
    </row>
    <row r="704511" spans="4:4" x14ac:dyDescent="0.35">
      <c r="D704511" s="9">
        <v>1</v>
      </c>
    </row>
    <row r="704512" spans="4:4" ht="15.5" x14ac:dyDescent="0.35">
      <c r="D704512" s="10" t="s">
        <v>52</v>
      </c>
    </row>
    <row r="704513" spans="4:4" x14ac:dyDescent="0.35">
      <c r="D704513" s="49">
        <f>D704514*O704514</f>
        <v>0</v>
      </c>
    </row>
    <row r="704514" spans="4:4" x14ac:dyDescent="0.35">
      <c r="D704514" s="11">
        <v>300</v>
      </c>
    </row>
    <row r="704515" spans="4:4" x14ac:dyDescent="0.35">
      <c r="D704515" s="12">
        <v>299.88</v>
      </c>
    </row>
    <row r="704516" spans="4:4" x14ac:dyDescent="0.35">
      <c r="D704516" s="13" t="s">
        <v>53</v>
      </c>
    </row>
    <row r="704517" spans="4:4" x14ac:dyDescent="0.35">
      <c r="D704517" s="11" t="s">
        <v>108</v>
      </c>
    </row>
    <row r="704518" spans="4:4" x14ac:dyDescent="0.35">
      <c r="D704518" s="13" t="s">
        <v>109</v>
      </c>
    </row>
    <row r="704519" spans="4:4" x14ac:dyDescent="0.35">
      <c r="D704519" s="13">
        <v>1</v>
      </c>
    </row>
    <row r="704520" spans="4:4" x14ac:dyDescent="0.35">
      <c r="D704520" s="13">
        <v>10000</v>
      </c>
    </row>
    <row r="704521" spans="4:4" x14ac:dyDescent="0.35">
      <c r="D704521" s="14">
        <v>0.3</v>
      </c>
    </row>
    <row r="704522" spans="4:4" x14ac:dyDescent="0.35">
      <c r="D704522" s="15">
        <v>0.4</v>
      </c>
    </row>
    <row r="704523" spans="4:4" x14ac:dyDescent="0.35">
      <c r="D704523" s="11">
        <v>4</v>
      </c>
    </row>
    <row r="704524" spans="4:4" x14ac:dyDescent="0.35">
      <c r="D704524" s="11">
        <f>D704523*30</f>
        <v>120</v>
      </c>
    </row>
    <row r="704525" spans="4:4" x14ac:dyDescent="0.35">
      <c r="D704525" s="11">
        <f>D704526*70</f>
        <v>700</v>
      </c>
    </row>
    <row r="704526" spans="4:4" x14ac:dyDescent="0.35">
      <c r="D704526" s="11">
        <v>10</v>
      </c>
    </row>
    <row r="704527" spans="4:4" x14ac:dyDescent="0.35">
      <c r="D704527" s="16" t="s">
        <v>54</v>
      </c>
    </row>
    <row r="704528" spans="4:4" x14ac:dyDescent="0.35">
      <c r="D704528" s="16">
        <v>10</v>
      </c>
    </row>
    <row r="704529" spans="4:4" x14ac:dyDescent="0.35">
      <c r="D704529" s="16" t="s">
        <v>55</v>
      </c>
    </row>
    <row r="704530" spans="4:4" x14ac:dyDescent="0.35">
      <c r="D704530" s="16">
        <v>50</v>
      </c>
    </row>
    <row r="704531" spans="4:4" x14ac:dyDescent="0.35">
      <c r="D704531" s="16">
        <v>7</v>
      </c>
    </row>
    <row r="704532" spans="4:4" x14ac:dyDescent="0.35">
      <c r="D704532" s="17">
        <f>ROUNDDOWN(D704534/D704531,0)</f>
        <v>38</v>
      </c>
    </row>
    <row r="704533" spans="4:4" x14ac:dyDescent="0.35">
      <c r="D704533" s="18">
        <v>9</v>
      </c>
    </row>
    <row r="704534" spans="4:4" x14ac:dyDescent="0.35">
      <c r="D704534" s="18">
        <f>D704533*30</f>
        <v>270</v>
      </c>
    </row>
    <row r="704535" spans="4:4" x14ac:dyDescent="0.35">
      <c r="D704535" s="19">
        <f>38*D704528</f>
        <v>380</v>
      </c>
    </row>
    <row r="704536" spans="4:4" x14ac:dyDescent="0.35">
      <c r="D704536" s="20">
        <v>50</v>
      </c>
    </row>
    <row r="704537" spans="4:4" x14ac:dyDescent="0.35">
      <c r="D704537" s="19">
        <v>50</v>
      </c>
    </row>
    <row r="704538" spans="4:4" x14ac:dyDescent="0.35">
      <c r="D704538" s="19">
        <v>325</v>
      </c>
    </row>
    <row r="704539" spans="4:4" x14ac:dyDescent="0.35">
      <c r="D704539" s="21">
        <f>D704535*D704536</f>
        <v>19000</v>
      </c>
    </row>
    <row r="704540" spans="4:4" x14ac:dyDescent="0.35">
      <c r="D704540" s="21">
        <f>D704537*D704538</f>
        <v>16250</v>
      </c>
    </row>
    <row r="704541" spans="4:4" x14ac:dyDescent="0.35">
      <c r="D704541" s="22">
        <v>1.3142499999999999</v>
      </c>
    </row>
    <row r="704542" spans="4:4" x14ac:dyDescent="0.35">
      <c r="D704542" s="23">
        <f>ROUNDDOWN(D704533*30/D704519,0)</f>
        <v>270</v>
      </c>
    </row>
    <row r="704543" spans="4:4" x14ac:dyDescent="0.35">
      <c r="D704543" s="23">
        <f>D704542*2</f>
        <v>540</v>
      </c>
    </row>
    <row r="704544" spans="4:4" x14ac:dyDescent="0.35">
      <c r="D704544" s="23" t="s">
        <v>56</v>
      </c>
    </row>
    <row r="704545" spans="4:4" x14ac:dyDescent="0.35">
      <c r="D704545" s="23">
        <v>11</v>
      </c>
    </row>
    <row r="704546" spans="4:4" x14ac:dyDescent="0.35">
      <c r="D704546" s="23">
        <f>D704543*D704545</f>
        <v>5940</v>
      </c>
    </row>
    <row r="704547" spans="4:4" x14ac:dyDescent="0.35">
      <c r="D704547" s="24">
        <f>D704539+D704540</f>
        <v>35250</v>
      </c>
    </row>
    <row r="704548" spans="4:4" x14ac:dyDescent="0.35">
      <c r="D704548" s="25">
        <f xml:space="preserve"> D704522*(D704513+D704524+D704525+D704546)+ (1-D704522)*(D704546+D704513+D704524)</f>
        <v>6340</v>
      </c>
    </row>
    <row r="704549" spans="4:4" x14ac:dyDescent="0.35">
      <c r="D704549" s="26">
        <f>D704547-D704548</f>
        <v>28910</v>
      </c>
    </row>
    <row r="704550" spans="4:4" x14ac:dyDescent="0.35">
      <c r="D704550" s="27">
        <f>D704547/D704548%</f>
        <v>555.99369085173498</v>
      </c>
    </row>
    <row r="704551" spans="4:4" x14ac:dyDescent="0.35">
      <c r="D704551" s="28">
        <v>15</v>
      </c>
    </row>
    <row r="720895" spans="4:4" x14ac:dyDescent="0.35">
      <c r="D720895" s="9">
        <v>1</v>
      </c>
    </row>
    <row r="720896" spans="4:4" ht="15.5" x14ac:dyDescent="0.35">
      <c r="D720896" s="10" t="s">
        <v>52</v>
      </c>
    </row>
    <row r="720897" spans="4:4" x14ac:dyDescent="0.35">
      <c r="D720897" s="49">
        <f>D720898*O720898</f>
        <v>0</v>
      </c>
    </row>
    <row r="720898" spans="4:4" x14ac:dyDescent="0.35">
      <c r="D720898" s="11">
        <v>300</v>
      </c>
    </row>
    <row r="720899" spans="4:4" x14ac:dyDescent="0.35">
      <c r="D720899" s="12">
        <v>299.88</v>
      </c>
    </row>
    <row r="720900" spans="4:4" x14ac:dyDescent="0.35">
      <c r="D720900" s="13" t="s">
        <v>53</v>
      </c>
    </row>
    <row r="720901" spans="4:4" x14ac:dyDescent="0.35">
      <c r="D720901" s="11" t="s">
        <v>108</v>
      </c>
    </row>
    <row r="720902" spans="4:4" x14ac:dyDescent="0.35">
      <c r="D720902" s="13" t="s">
        <v>109</v>
      </c>
    </row>
    <row r="720903" spans="4:4" x14ac:dyDescent="0.35">
      <c r="D720903" s="13">
        <v>1</v>
      </c>
    </row>
    <row r="720904" spans="4:4" x14ac:dyDescent="0.35">
      <c r="D720904" s="13">
        <v>10000</v>
      </c>
    </row>
    <row r="720905" spans="4:4" x14ac:dyDescent="0.35">
      <c r="D720905" s="14">
        <v>0.3</v>
      </c>
    </row>
    <row r="720906" spans="4:4" x14ac:dyDescent="0.35">
      <c r="D720906" s="15">
        <v>0.4</v>
      </c>
    </row>
    <row r="720907" spans="4:4" x14ac:dyDescent="0.35">
      <c r="D720907" s="11">
        <v>4</v>
      </c>
    </row>
    <row r="720908" spans="4:4" x14ac:dyDescent="0.35">
      <c r="D720908" s="11">
        <f>D720907*30</f>
        <v>120</v>
      </c>
    </row>
    <row r="720909" spans="4:4" x14ac:dyDescent="0.35">
      <c r="D720909" s="11">
        <f>D720910*70</f>
        <v>700</v>
      </c>
    </row>
    <row r="720910" spans="4:4" x14ac:dyDescent="0.35">
      <c r="D720910" s="11">
        <v>10</v>
      </c>
    </row>
    <row r="720911" spans="4:4" x14ac:dyDescent="0.35">
      <c r="D720911" s="16" t="s">
        <v>54</v>
      </c>
    </row>
    <row r="720912" spans="4:4" x14ac:dyDescent="0.35">
      <c r="D720912" s="16">
        <v>10</v>
      </c>
    </row>
    <row r="720913" spans="4:4" x14ac:dyDescent="0.35">
      <c r="D720913" s="16" t="s">
        <v>55</v>
      </c>
    </row>
    <row r="720914" spans="4:4" x14ac:dyDescent="0.35">
      <c r="D720914" s="16">
        <v>50</v>
      </c>
    </row>
    <row r="720915" spans="4:4" x14ac:dyDescent="0.35">
      <c r="D720915" s="16">
        <v>7</v>
      </c>
    </row>
    <row r="720916" spans="4:4" x14ac:dyDescent="0.35">
      <c r="D720916" s="17">
        <f>ROUNDDOWN(D720918/D720915,0)</f>
        <v>38</v>
      </c>
    </row>
    <row r="720917" spans="4:4" x14ac:dyDescent="0.35">
      <c r="D720917" s="18">
        <v>9</v>
      </c>
    </row>
    <row r="720918" spans="4:4" x14ac:dyDescent="0.35">
      <c r="D720918" s="18">
        <f>D720917*30</f>
        <v>270</v>
      </c>
    </row>
    <row r="720919" spans="4:4" x14ac:dyDescent="0.35">
      <c r="D720919" s="19">
        <f>38*D720912</f>
        <v>380</v>
      </c>
    </row>
    <row r="720920" spans="4:4" x14ac:dyDescent="0.35">
      <c r="D720920" s="20">
        <v>50</v>
      </c>
    </row>
    <row r="720921" spans="4:4" x14ac:dyDescent="0.35">
      <c r="D720921" s="19">
        <v>50</v>
      </c>
    </row>
    <row r="720922" spans="4:4" x14ac:dyDescent="0.35">
      <c r="D720922" s="19">
        <v>325</v>
      </c>
    </row>
    <row r="720923" spans="4:4" x14ac:dyDescent="0.35">
      <c r="D720923" s="21">
        <f>D720919*D720920</f>
        <v>19000</v>
      </c>
    </row>
    <row r="720924" spans="4:4" x14ac:dyDescent="0.35">
      <c r="D720924" s="21">
        <f>D720921*D720922</f>
        <v>16250</v>
      </c>
    </row>
    <row r="720925" spans="4:4" x14ac:dyDescent="0.35">
      <c r="D720925" s="22">
        <v>1.3142499999999999</v>
      </c>
    </row>
    <row r="720926" spans="4:4" x14ac:dyDescent="0.35">
      <c r="D720926" s="23">
        <f>ROUNDDOWN(D720917*30/D720903,0)</f>
        <v>270</v>
      </c>
    </row>
    <row r="720927" spans="4:4" x14ac:dyDescent="0.35">
      <c r="D720927" s="23">
        <f>D720926*2</f>
        <v>540</v>
      </c>
    </row>
    <row r="720928" spans="4:4" x14ac:dyDescent="0.35">
      <c r="D720928" s="23" t="s">
        <v>56</v>
      </c>
    </row>
    <row r="720929" spans="4:4" x14ac:dyDescent="0.35">
      <c r="D720929" s="23">
        <v>11</v>
      </c>
    </row>
    <row r="720930" spans="4:4" x14ac:dyDescent="0.35">
      <c r="D720930" s="23">
        <f>D720927*D720929</f>
        <v>5940</v>
      </c>
    </row>
    <row r="720931" spans="4:4" x14ac:dyDescent="0.35">
      <c r="D720931" s="24">
        <f>D720923+D720924</f>
        <v>35250</v>
      </c>
    </row>
    <row r="720932" spans="4:4" x14ac:dyDescent="0.35">
      <c r="D720932" s="25">
        <f xml:space="preserve"> D720906*(D720897+D720908+D720909+D720930)+ (1-D720906)*(D720930+D720897+D720908)</f>
        <v>6340</v>
      </c>
    </row>
    <row r="720933" spans="4:4" x14ac:dyDescent="0.35">
      <c r="D720933" s="26">
        <f>D720931-D720932</f>
        <v>28910</v>
      </c>
    </row>
    <row r="720934" spans="4:4" x14ac:dyDescent="0.35">
      <c r="D720934" s="27">
        <f>D720931/D720932%</f>
        <v>555.99369085173498</v>
      </c>
    </row>
    <row r="720935" spans="4:4" x14ac:dyDescent="0.35">
      <c r="D720935" s="28">
        <v>15</v>
      </c>
    </row>
    <row r="737279" spans="4:4" x14ac:dyDescent="0.35">
      <c r="D737279" s="9">
        <v>1</v>
      </c>
    </row>
    <row r="737280" spans="4:4" ht="15.5" x14ac:dyDescent="0.35">
      <c r="D737280" s="10" t="s">
        <v>52</v>
      </c>
    </row>
    <row r="737281" spans="4:4" x14ac:dyDescent="0.35">
      <c r="D737281" s="49">
        <f>D737282*O737282</f>
        <v>0</v>
      </c>
    </row>
    <row r="737282" spans="4:4" x14ac:dyDescent="0.35">
      <c r="D737282" s="11">
        <v>300</v>
      </c>
    </row>
    <row r="737283" spans="4:4" x14ac:dyDescent="0.35">
      <c r="D737283" s="12">
        <v>299.88</v>
      </c>
    </row>
    <row r="737284" spans="4:4" x14ac:dyDescent="0.35">
      <c r="D737284" s="13" t="s">
        <v>53</v>
      </c>
    </row>
    <row r="737285" spans="4:4" x14ac:dyDescent="0.35">
      <c r="D737285" s="11" t="s">
        <v>108</v>
      </c>
    </row>
    <row r="737286" spans="4:4" x14ac:dyDescent="0.35">
      <c r="D737286" s="13" t="s">
        <v>109</v>
      </c>
    </row>
    <row r="737287" spans="4:4" x14ac:dyDescent="0.35">
      <c r="D737287" s="13">
        <v>1</v>
      </c>
    </row>
    <row r="737288" spans="4:4" x14ac:dyDescent="0.35">
      <c r="D737288" s="13">
        <v>10000</v>
      </c>
    </row>
    <row r="737289" spans="4:4" x14ac:dyDescent="0.35">
      <c r="D737289" s="14">
        <v>0.3</v>
      </c>
    </row>
    <row r="737290" spans="4:4" x14ac:dyDescent="0.35">
      <c r="D737290" s="15">
        <v>0.4</v>
      </c>
    </row>
    <row r="737291" spans="4:4" x14ac:dyDescent="0.35">
      <c r="D737291" s="11">
        <v>4</v>
      </c>
    </row>
    <row r="737292" spans="4:4" x14ac:dyDescent="0.35">
      <c r="D737292" s="11">
        <f>D737291*30</f>
        <v>120</v>
      </c>
    </row>
    <row r="737293" spans="4:4" x14ac:dyDescent="0.35">
      <c r="D737293" s="11">
        <f>D737294*70</f>
        <v>700</v>
      </c>
    </row>
    <row r="737294" spans="4:4" x14ac:dyDescent="0.35">
      <c r="D737294" s="11">
        <v>10</v>
      </c>
    </row>
    <row r="737295" spans="4:4" x14ac:dyDescent="0.35">
      <c r="D737295" s="16" t="s">
        <v>54</v>
      </c>
    </row>
    <row r="737296" spans="4:4" x14ac:dyDescent="0.35">
      <c r="D737296" s="16">
        <v>10</v>
      </c>
    </row>
    <row r="737297" spans="4:4" x14ac:dyDescent="0.35">
      <c r="D737297" s="16" t="s">
        <v>55</v>
      </c>
    </row>
    <row r="737298" spans="4:4" x14ac:dyDescent="0.35">
      <c r="D737298" s="16">
        <v>50</v>
      </c>
    </row>
    <row r="737299" spans="4:4" x14ac:dyDescent="0.35">
      <c r="D737299" s="16">
        <v>7</v>
      </c>
    </row>
    <row r="737300" spans="4:4" x14ac:dyDescent="0.35">
      <c r="D737300" s="17">
        <f>ROUNDDOWN(D737302/D737299,0)</f>
        <v>38</v>
      </c>
    </row>
    <row r="737301" spans="4:4" x14ac:dyDescent="0.35">
      <c r="D737301" s="18">
        <v>9</v>
      </c>
    </row>
    <row r="737302" spans="4:4" x14ac:dyDescent="0.35">
      <c r="D737302" s="18">
        <f>D737301*30</f>
        <v>270</v>
      </c>
    </row>
    <row r="737303" spans="4:4" x14ac:dyDescent="0.35">
      <c r="D737303" s="19">
        <f>38*D737296</f>
        <v>380</v>
      </c>
    </row>
    <row r="737304" spans="4:4" x14ac:dyDescent="0.35">
      <c r="D737304" s="20">
        <v>50</v>
      </c>
    </row>
    <row r="737305" spans="4:4" x14ac:dyDescent="0.35">
      <c r="D737305" s="19">
        <v>50</v>
      </c>
    </row>
    <row r="737306" spans="4:4" x14ac:dyDescent="0.35">
      <c r="D737306" s="19">
        <v>325</v>
      </c>
    </row>
    <row r="737307" spans="4:4" x14ac:dyDescent="0.35">
      <c r="D737307" s="21">
        <f>D737303*D737304</f>
        <v>19000</v>
      </c>
    </row>
    <row r="737308" spans="4:4" x14ac:dyDescent="0.35">
      <c r="D737308" s="21">
        <f>D737305*D737306</f>
        <v>16250</v>
      </c>
    </row>
    <row r="737309" spans="4:4" x14ac:dyDescent="0.35">
      <c r="D737309" s="22">
        <v>1.3142499999999999</v>
      </c>
    </row>
    <row r="737310" spans="4:4" x14ac:dyDescent="0.35">
      <c r="D737310" s="23">
        <f>ROUNDDOWN(D737301*30/D737287,0)</f>
        <v>270</v>
      </c>
    </row>
    <row r="737311" spans="4:4" x14ac:dyDescent="0.35">
      <c r="D737311" s="23">
        <f>D737310*2</f>
        <v>540</v>
      </c>
    </row>
    <row r="737312" spans="4:4" x14ac:dyDescent="0.35">
      <c r="D737312" s="23" t="s">
        <v>56</v>
      </c>
    </row>
    <row r="737313" spans="4:4" x14ac:dyDescent="0.35">
      <c r="D737313" s="23">
        <v>11</v>
      </c>
    </row>
    <row r="737314" spans="4:4" x14ac:dyDescent="0.35">
      <c r="D737314" s="23">
        <f>D737311*D737313</f>
        <v>5940</v>
      </c>
    </row>
    <row r="737315" spans="4:4" x14ac:dyDescent="0.35">
      <c r="D737315" s="24">
        <f>D737307+D737308</f>
        <v>35250</v>
      </c>
    </row>
    <row r="737316" spans="4:4" x14ac:dyDescent="0.35">
      <c r="D737316" s="25">
        <f xml:space="preserve"> D737290*(D737281+D737292+D737293+D737314)+ (1-D737290)*(D737314+D737281+D737292)</f>
        <v>6340</v>
      </c>
    </row>
    <row r="737317" spans="4:4" x14ac:dyDescent="0.35">
      <c r="D737317" s="26">
        <f>D737315-D737316</f>
        <v>28910</v>
      </c>
    </row>
    <row r="737318" spans="4:4" x14ac:dyDescent="0.35">
      <c r="D737318" s="27">
        <f>D737315/D737316%</f>
        <v>555.99369085173498</v>
      </c>
    </row>
    <row r="737319" spans="4:4" x14ac:dyDescent="0.35">
      <c r="D737319" s="28">
        <v>15</v>
      </c>
    </row>
    <row r="753663" spans="4:4" x14ac:dyDescent="0.35">
      <c r="D753663" s="9">
        <v>1</v>
      </c>
    </row>
    <row r="753664" spans="4:4" ht="15.5" x14ac:dyDescent="0.35">
      <c r="D753664" s="10" t="s">
        <v>52</v>
      </c>
    </row>
    <row r="753665" spans="4:4" x14ac:dyDescent="0.35">
      <c r="D753665" s="49">
        <f>D753666*O753666</f>
        <v>0</v>
      </c>
    </row>
    <row r="753666" spans="4:4" x14ac:dyDescent="0.35">
      <c r="D753666" s="11">
        <v>300</v>
      </c>
    </row>
    <row r="753667" spans="4:4" x14ac:dyDescent="0.35">
      <c r="D753667" s="12">
        <v>299.88</v>
      </c>
    </row>
    <row r="753668" spans="4:4" x14ac:dyDescent="0.35">
      <c r="D753668" s="13" t="s">
        <v>53</v>
      </c>
    </row>
    <row r="753669" spans="4:4" x14ac:dyDescent="0.35">
      <c r="D753669" s="11" t="s">
        <v>108</v>
      </c>
    </row>
    <row r="753670" spans="4:4" x14ac:dyDescent="0.35">
      <c r="D753670" s="13" t="s">
        <v>109</v>
      </c>
    </row>
    <row r="753671" spans="4:4" x14ac:dyDescent="0.35">
      <c r="D753671" s="13">
        <v>1</v>
      </c>
    </row>
    <row r="753672" spans="4:4" x14ac:dyDescent="0.35">
      <c r="D753672" s="13">
        <v>10000</v>
      </c>
    </row>
    <row r="753673" spans="4:4" x14ac:dyDescent="0.35">
      <c r="D753673" s="14">
        <v>0.3</v>
      </c>
    </row>
    <row r="753674" spans="4:4" x14ac:dyDescent="0.35">
      <c r="D753674" s="15">
        <v>0.4</v>
      </c>
    </row>
    <row r="753675" spans="4:4" x14ac:dyDescent="0.35">
      <c r="D753675" s="11">
        <v>4</v>
      </c>
    </row>
    <row r="753676" spans="4:4" x14ac:dyDescent="0.35">
      <c r="D753676" s="11">
        <f>D753675*30</f>
        <v>120</v>
      </c>
    </row>
    <row r="753677" spans="4:4" x14ac:dyDescent="0.35">
      <c r="D753677" s="11">
        <f>D753678*70</f>
        <v>700</v>
      </c>
    </row>
    <row r="753678" spans="4:4" x14ac:dyDescent="0.35">
      <c r="D753678" s="11">
        <v>10</v>
      </c>
    </row>
    <row r="753679" spans="4:4" x14ac:dyDescent="0.35">
      <c r="D753679" s="16" t="s">
        <v>54</v>
      </c>
    </row>
    <row r="753680" spans="4:4" x14ac:dyDescent="0.35">
      <c r="D753680" s="16">
        <v>10</v>
      </c>
    </row>
    <row r="753681" spans="4:4" x14ac:dyDescent="0.35">
      <c r="D753681" s="16" t="s">
        <v>55</v>
      </c>
    </row>
    <row r="753682" spans="4:4" x14ac:dyDescent="0.35">
      <c r="D753682" s="16">
        <v>50</v>
      </c>
    </row>
    <row r="753683" spans="4:4" x14ac:dyDescent="0.35">
      <c r="D753683" s="16">
        <v>7</v>
      </c>
    </row>
    <row r="753684" spans="4:4" x14ac:dyDescent="0.35">
      <c r="D753684" s="17">
        <f>ROUNDDOWN(D753686/D753683,0)</f>
        <v>38</v>
      </c>
    </row>
    <row r="753685" spans="4:4" x14ac:dyDescent="0.35">
      <c r="D753685" s="18">
        <v>9</v>
      </c>
    </row>
    <row r="753686" spans="4:4" x14ac:dyDescent="0.35">
      <c r="D753686" s="18">
        <f>D753685*30</f>
        <v>270</v>
      </c>
    </row>
    <row r="753687" spans="4:4" x14ac:dyDescent="0.35">
      <c r="D753687" s="19">
        <f>38*D753680</f>
        <v>380</v>
      </c>
    </row>
    <row r="753688" spans="4:4" x14ac:dyDescent="0.35">
      <c r="D753688" s="20">
        <v>50</v>
      </c>
    </row>
    <row r="753689" spans="4:4" x14ac:dyDescent="0.35">
      <c r="D753689" s="19">
        <v>50</v>
      </c>
    </row>
    <row r="753690" spans="4:4" x14ac:dyDescent="0.35">
      <c r="D753690" s="19">
        <v>325</v>
      </c>
    </row>
    <row r="753691" spans="4:4" x14ac:dyDescent="0.35">
      <c r="D753691" s="21">
        <f>D753687*D753688</f>
        <v>19000</v>
      </c>
    </row>
    <row r="753692" spans="4:4" x14ac:dyDescent="0.35">
      <c r="D753692" s="21">
        <f>D753689*D753690</f>
        <v>16250</v>
      </c>
    </row>
    <row r="753693" spans="4:4" x14ac:dyDescent="0.35">
      <c r="D753693" s="22">
        <v>1.3142499999999999</v>
      </c>
    </row>
    <row r="753694" spans="4:4" x14ac:dyDescent="0.35">
      <c r="D753694" s="23">
        <f>ROUNDDOWN(D753685*30/D753671,0)</f>
        <v>270</v>
      </c>
    </row>
    <row r="753695" spans="4:4" x14ac:dyDescent="0.35">
      <c r="D753695" s="23">
        <f>D753694*2</f>
        <v>540</v>
      </c>
    </row>
    <row r="753696" spans="4:4" x14ac:dyDescent="0.35">
      <c r="D753696" s="23" t="s">
        <v>56</v>
      </c>
    </row>
    <row r="753697" spans="4:4" x14ac:dyDescent="0.35">
      <c r="D753697" s="23">
        <v>11</v>
      </c>
    </row>
    <row r="753698" spans="4:4" x14ac:dyDescent="0.35">
      <c r="D753698" s="23">
        <f>D753695*D753697</f>
        <v>5940</v>
      </c>
    </row>
    <row r="753699" spans="4:4" x14ac:dyDescent="0.35">
      <c r="D753699" s="24">
        <f>D753691+D753692</f>
        <v>35250</v>
      </c>
    </row>
    <row r="753700" spans="4:4" x14ac:dyDescent="0.35">
      <c r="D753700" s="25">
        <f xml:space="preserve"> D753674*(D753665+D753676+D753677+D753698)+ (1-D753674)*(D753698+D753665+D753676)</f>
        <v>6340</v>
      </c>
    </row>
    <row r="753701" spans="4:4" x14ac:dyDescent="0.35">
      <c r="D753701" s="26">
        <f>D753699-D753700</f>
        <v>28910</v>
      </c>
    </row>
    <row r="753702" spans="4:4" x14ac:dyDescent="0.35">
      <c r="D753702" s="27">
        <f>D753699/D753700%</f>
        <v>555.99369085173498</v>
      </c>
    </row>
    <row r="753703" spans="4:4" x14ac:dyDescent="0.35">
      <c r="D753703" s="28">
        <v>15</v>
      </c>
    </row>
    <row r="770047" spans="4:4" x14ac:dyDescent="0.35">
      <c r="D770047" s="9">
        <v>1</v>
      </c>
    </row>
    <row r="770048" spans="4:4" ht="15.5" x14ac:dyDescent="0.35">
      <c r="D770048" s="10" t="s">
        <v>52</v>
      </c>
    </row>
    <row r="770049" spans="4:4" x14ac:dyDescent="0.35">
      <c r="D770049" s="49">
        <f>D770050*O770050</f>
        <v>0</v>
      </c>
    </row>
    <row r="770050" spans="4:4" x14ac:dyDescent="0.35">
      <c r="D770050" s="11">
        <v>300</v>
      </c>
    </row>
    <row r="770051" spans="4:4" x14ac:dyDescent="0.35">
      <c r="D770051" s="12">
        <v>299.88</v>
      </c>
    </row>
    <row r="770052" spans="4:4" x14ac:dyDescent="0.35">
      <c r="D770052" s="13" t="s">
        <v>53</v>
      </c>
    </row>
    <row r="770053" spans="4:4" x14ac:dyDescent="0.35">
      <c r="D770053" s="11" t="s">
        <v>108</v>
      </c>
    </row>
    <row r="770054" spans="4:4" x14ac:dyDescent="0.35">
      <c r="D770054" s="13" t="s">
        <v>109</v>
      </c>
    </row>
    <row r="770055" spans="4:4" x14ac:dyDescent="0.35">
      <c r="D770055" s="13">
        <v>1</v>
      </c>
    </row>
    <row r="770056" spans="4:4" x14ac:dyDescent="0.35">
      <c r="D770056" s="13">
        <v>10000</v>
      </c>
    </row>
    <row r="770057" spans="4:4" x14ac:dyDescent="0.35">
      <c r="D770057" s="14">
        <v>0.3</v>
      </c>
    </row>
    <row r="770058" spans="4:4" x14ac:dyDescent="0.35">
      <c r="D770058" s="15">
        <v>0.4</v>
      </c>
    </row>
    <row r="770059" spans="4:4" x14ac:dyDescent="0.35">
      <c r="D770059" s="11">
        <v>4</v>
      </c>
    </row>
    <row r="770060" spans="4:4" x14ac:dyDescent="0.35">
      <c r="D770060" s="11">
        <f>D770059*30</f>
        <v>120</v>
      </c>
    </row>
    <row r="770061" spans="4:4" x14ac:dyDescent="0.35">
      <c r="D770061" s="11">
        <f>D770062*70</f>
        <v>700</v>
      </c>
    </row>
    <row r="770062" spans="4:4" x14ac:dyDescent="0.35">
      <c r="D770062" s="11">
        <v>10</v>
      </c>
    </row>
    <row r="770063" spans="4:4" x14ac:dyDescent="0.35">
      <c r="D770063" s="16" t="s">
        <v>54</v>
      </c>
    </row>
    <row r="770064" spans="4:4" x14ac:dyDescent="0.35">
      <c r="D770064" s="16">
        <v>10</v>
      </c>
    </row>
    <row r="770065" spans="4:4" x14ac:dyDescent="0.35">
      <c r="D770065" s="16" t="s">
        <v>55</v>
      </c>
    </row>
    <row r="770066" spans="4:4" x14ac:dyDescent="0.35">
      <c r="D770066" s="16">
        <v>50</v>
      </c>
    </row>
    <row r="770067" spans="4:4" x14ac:dyDescent="0.35">
      <c r="D770067" s="16">
        <v>7</v>
      </c>
    </row>
    <row r="770068" spans="4:4" x14ac:dyDescent="0.35">
      <c r="D770068" s="17">
        <f>ROUNDDOWN(D770070/D770067,0)</f>
        <v>38</v>
      </c>
    </row>
    <row r="770069" spans="4:4" x14ac:dyDescent="0.35">
      <c r="D770069" s="18">
        <v>9</v>
      </c>
    </row>
    <row r="770070" spans="4:4" x14ac:dyDescent="0.35">
      <c r="D770070" s="18">
        <f>D770069*30</f>
        <v>270</v>
      </c>
    </row>
    <row r="770071" spans="4:4" x14ac:dyDescent="0.35">
      <c r="D770071" s="19">
        <f>38*D770064</f>
        <v>380</v>
      </c>
    </row>
    <row r="770072" spans="4:4" x14ac:dyDescent="0.35">
      <c r="D770072" s="20">
        <v>50</v>
      </c>
    </row>
    <row r="770073" spans="4:4" x14ac:dyDescent="0.35">
      <c r="D770073" s="19">
        <v>50</v>
      </c>
    </row>
    <row r="770074" spans="4:4" x14ac:dyDescent="0.35">
      <c r="D770074" s="19">
        <v>325</v>
      </c>
    </row>
    <row r="770075" spans="4:4" x14ac:dyDescent="0.35">
      <c r="D770075" s="21">
        <f>D770071*D770072</f>
        <v>19000</v>
      </c>
    </row>
    <row r="770076" spans="4:4" x14ac:dyDescent="0.35">
      <c r="D770076" s="21">
        <f>D770073*D770074</f>
        <v>16250</v>
      </c>
    </row>
    <row r="770077" spans="4:4" x14ac:dyDescent="0.35">
      <c r="D770077" s="22">
        <v>1.3142499999999999</v>
      </c>
    </row>
    <row r="770078" spans="4:4" x14ac:dyDescent="0.35">
      <c r="D770078" s="23">
        <f>ROUNDDOWN(D770069*30/D770055,0)</f>
        <v>270</v>
      </c>
    </row>
    <row r="770079" spans="4:4" x14ac:dyDescent="0.35">
      <c r="D770079" s="23">
        <f>D770078*2</f>
        <v>540</v>
      </c>
    </row>
    <row r="770080" spans="4:4" x14ac:dyDescent="0.35">
      <c r="D770080" s="23" t="s">
        <v>56</v>
      </c>
    </row>
    <row r="770081" spans="4:4" x14ac:dyDescent="0.35">
      <c r="D770081" s="23">
        <v>11</v>
      </c>
    </row>
    <row r="770082" spans="4:4" x14ac:dyDescent="0.35">
      <c r="D770082" s="23">
        <f>D770079*D770081</f>
        <v>5940</v>
      </c>
    </row>
    <row r="770083" spans="4:4" x14ac:dyDescent="0.35">
      <c r="D770083" s="24">
        <f>D770075+D770076</f>
        <v>35250</v>
      </c>
    </row>
    <row r="770084" spans="4:4" x14ac:dyDescent="0.35">
      <c r="D770084" s="25">
        <f xml:space="preserve"> D770058*(D770049+D770060+D770061+D770082)+ (1-D770058)*(D770082+D770049+D770060)</f>
        <v>6340</v>
      </c>
    </row>
    <row r="770085" spans="4:4" x14ac:dyDescent="0.35">
      <c r="D770085" s="26">
        <f>D770083-D770084</f>
        <v>28910</v>
      </c>
    </row>
    <row r="770086" spans="4:4" x14ac:dyDescent="0.35">
      <c r="D770086" s="27">
        <f>D770083/D770084%</f>
        <v>555.99369085173498</v>
      </c>
    </row>
    <row r="770087" spans="4:4" x14ac:dyDescent="0.35">
      <c r="D770087" s="28">
        <v>15</v>
      </c>
    </row>
    <row r="786431" spans="4:4" x14ac:dyDescent="0.35">
      <c r="D786431" s="9">
        <v>1</v>
      </c>
    </row>
    <row r="786432" spans="4:4" ht="15.5" x14ac:dyDescent="0.35">
      <c r="D786432" s="10" t="s">
        <v>52</v>
      </c>
    </row>
    <row r="786433" spans="4:4" x14ac:dyDescent="0.35">
      <c r="D786433" s="49">
        <f>D786434*O786434</f>
        <v>0</v>
      </c>
    </row>
    <row r="786434" spans="4:4" x14ac:dyDescent="0.35">
      <c r="D786434" s="11">
        <v>300</v>
      </c>
    </row>
    <row r="786435" spans="4:4" x14ac:dyDescent="0.35">
      <c r="D786435" s="12">
        <v>299.88</v>
      </c>
    </row>
    <row r="786436" spans="4:4" x14ac:dyDescent="0.35">
      <c r="D786436" s="13" t="s">
        <v>53</v>
      </c>
    </row>
    <row r="786437" spans="4:4" x14ac:dyDescent="0.35">
      <c r="D786437" s="11" t="s">
        <v>108</v>
      </c>
    </row>
    <row r="786438" spans="4:4" x14ac:dyDescent="0.35">
      <c r="D786438" s="13" t="s">
        <v>109</v>
      </c>
    </row>
    <row r="786439" spans="4:4" x14ac:dyDescent="0.35">
      <c r="D786439" s="13">
        <v>1</v>
      </c>
    </row>
    <row r="786440" spans="4:4" x14ac:dyDescent="0.35">
      <c r="D786440" s="13">
        <v>10000</v>
      </c>
    </row>
    <row r="786441" spans="4:4" x14ac:dyDescent="0.35">
      <c r="D786441" s="14">
        <v>0.3</v>
      </c>
    </row>
    <row r="786442" spans="4:4" x14ac:dyDescent="0.35">
      <c r="D786442" s="15">
        <v>0.4</v>
      </c>
    </row>
    <row r="786443" spans="4:4" x14ac:dyDescent="0.35">
      <c r="D786443" s="11">
        <v>4</v>
      </c>
    </row>
    <row r="786444" spans="4:4" x14ac:dyDescent="0.35">
      <c r="D786444" s="11">
        <f>D786443*30</f>
        <v>120</v>
      </c>
    </row>
    <row r="786445" spans="4:4" x14ac:dyDescent="0.35">
      <c r="D786445" s="11">
        <f>D786446*70</f>
        <v>700</v>
      </c>
    </row>
    <row r="786446" spans="4:4" x14ac:dyDescent="0.35">
      <c r="D786446" s="11">
        <v>10</v>
      </c>
    </row>
    <row r="786447" spans="4:4" x14ac:dyDescent="0.35">
      <c r="D786447" s="16" t="s">
        <v>54</v>
      </c>
    </row>
    <row r="786448" spans="4:4" x14ac:dyDescent="0.35">
      <c r="D786448" s="16">
        <v>10</v>
      </c>
    </row>
    <row r="786449" spans="4:4" x14ac:dyDescent="0.35">
      <c r="D786449" s="16" t="s">
        <v>55</v>
      </c>
    </row>
    <row r="786450" spans="4:4" x14ac:dyDescent="0.35">
      <c r="D786450" s="16">
        <v>50</v>
      </c>
    </row>
    <row r="786451" spans="4:4" x14ac:dyDescent="0.35">
      <c r="D786451" s="16">
        <v>7</v>
      </c>
    </row>
    <row r="786452" spans="4:4" x14ac:dyDescent="0.35">
      <c r="D786452" s="17">
        <f>ROUNDDOWN(D786454/D786451,0)</f>
        <v>38</v>
      </c>
    </row>
    <row r="786453" spans="4:4" x14ac:dyDescent="0.35">
      <c r="D786453" s="18">
        <v>9</v>
      </c>
    </row>
    <row r="786454" spans="4:4" x14ac:dyDescent="0.35">
      <c r="D786454" s="18">
        <f>D786453*30</f>
        <v>270</v>
      </c>
    </row>
    <row r="786455" spans="4:4" x14ac:dyDescent="0.35">
      <c r="D786455" s="19">
        <f>38*D786448</f>
        <v>380</v>
      </c>
    </row>
    <row r="786456" spans="4:4" x14ac:dyDescent="0.35">
      <c r="D786456" s="20">
        <v>50</v>
      </c>
    </row>
    <row r="786457" spans="4:4" x14ac:dyDescent="0.35">
      <c r="D786457" s="19">
        <v>50</v>
      </c>
    </row>
    <row r="786458" spans="4:4" x14ac:dyDescent="0.35">
      <c r="D786458" s="19">
        <v>325</v>
      </c>
    </row>
    <row r="786459" spans="4:4" x14ac:dyDescent="0.35">
      <c r="D786459" s="21">
        <f>D786455*D786456</f>
        <v>19000</v>
      </c>
    </row>
    <row r="786460" spans="4:4" x14ac:dyDescent="0.35">
      <c r="D786460" s="21">
        <f>D786457*D786458</f>
        <v>16250</v>
      </c>
    </row>
    <row r="786461" spans="4:4" x14ac:dyDescent="0.35">
      <c r="D786461" s="22">
        <v>1.3142499999999999</v>
      </c>
    </row>
    <row r="786462" spans="4:4" x14ac:dyDescent="0.35">
      <c r="D786462" s="23">
        <f>ROUNDDOWN(D786453*30/D786439,0)</f>
        <v>270</v>
      </c>
    </row>
    <row r="786463" spans="4:4" x14ac:dyDescent="0.35">
      <c r="D786463" s="23">
        <f>D786462*2</f>
        <v>540</v>
      </c>
    </row>
    <row r="786464" spans="4:4" x14ac:dyDescent="0.35">
      <c r="D786464" s="23" t="s">
        <v>56</v>
      </c>
    </row>
    <row r="786465" spans="4:4" x14ac:dyDescent="0.35">
      <c r="D786465" s="23">
        <v>11</v>
      </c>
    </row>
    <row r="786466" spans="4:4" x14ac:dyDescent="0.35">
      <c r="D786466" s="23">
        <f>D786463*D786465</f>
        <v>5940</v>
      </c>
    </row>
    <row r="786467" spans="4:4" x14ac:dyDescent="0.35">
      <c r="D786467" s="24">
        <f>D786459+D786460</f>
        <v>35250</v>
      </c>
    </row>
    <row r="786468" spans="4:4" x14ac:dyDescent="0.35">
      <c r="D786468" s="25">
        <f xml:space="preserve"> D786442*(D786433+D786444+D786445+D786466)+ (1-D786442)*(D786466+D786433+D786444)</f>
        <v>6340</v>
      </c>
    </row>
    <row r="786469" spans="4:4" x14ac:dyDescent="0.35">
      <c r="D786469" s="26">
        <f>D786467-D786468</f>
        <v>28910</v>
      </c>
    </row>
    <row r="786470" spans="4:4" x14ac:dyDescent="0.35">
      <c r="D786470" s="27">
        <f>D786467/D786468%</f>
        <v>555.99369085173498</v>
      </c>
    </row>
    <row r="786471" spans="4:4" x14ac:dyDescent="0.35">
      <c r="D786471" s="28">
        <v>15</v>
      </c>
    </row>
    <row r="802815" spans="4:4" x14ac:dyDescent="0.35">
      <c r="D802815" s="9">
        <v>1</v>
      </c>
    </row>
    <row r="802816" spans="4:4" ht="15.5" x14ac:dyDescent="0.35">
      <c r="D802816" s="10" t="s">
        <v>52</v>
      </c>
    </row>
    <row r="802817" spans="4:4" x14ac:dyDescent="0.35">
      <c r="D802817" s="49">
        <f>D802818*O802818</f>
        <v>0</v>
      </c>
    </row>
    <row r="802818" spans="4:4" x14ac:dyDescent="0.35">
      <c r="D802818" s="11">
        <v>300</v>
      </c>
    </row>
    <row r="802819" spans="4:4" x14ac:dyDescent="0.35">
      <c r="D802819" s="12">
        <v>299.88</v>
      </c>
    </row>
    <row r="802820" spans="4:4" x14ac:dyDescent="0.35">
      <c r="D802820" s="13" t="s">
        <v>53</v>
      </c>
    </row>
    <row r="802821" spans="4:4" x14ac:dyDescent="0.35">
      <c r="D802821" s="11" t="s">
        <v>108</v>
      </c>
    </row>
    <row r="802822" spans="4:4" x14ac:dyDescent="0.35">
      <c r="D802822" s="13" t="s">
        <v>109</v>
      </c>
    </row>
    <row r="802823" spans="4:4" x14ac:dyDescent="0.35">
      <c r="D802823" s="13">
        <v>1</v>
      </c>
    </row>
    <row r="802824" spans="4:4" x14ac:dyDescent="0.35">
      <c r="D802824" s="13">
        <v>10000</v>
      </c>
    </row>
    <row r="802825" spans="4:4" x14ac:dyDescent="0.35">
      <c r="D802825" s="14">
        <v>0.3</v>
      </c>
    </row>
    <row r="802826" spans="4:4" x14ac:dyDescent="0.35">
      <c r="D802826" s="15">
        <v>0.4</v>
      </c>
    </row>
    <row r="802827" spans="4:4" x14ac:dyDescent="0.35">
      <c r="D802827" s="11">
        <v>4</v>
      </c>
    </row>
    <row r="802828" spans="4:4" x14ac:dyDescent="0.35">
      <c r="D802828" s="11">
        <f>D802827*30</f>
        <v>120</v>
      </c>
    </row>
    <row r="802829" spans="4:4" x14ac:dyDescent="0.35">
      <c r="D802829" s="11">
        <f>D802830*70</f>
        <v>700</v>
      </c>
    </row>
    <row r="802830" spans="4:4" x14ac:dyDescent="0.35">
      <c r="D802830" s="11">
        <v>10</v>
      </c>
    </row>
    <row r="802831" spans="4:4" x14ac:dyDescent="0.35">
      <c r="D802831" s="16" t="s">
        <v>54</v>
      </c>
    </row>
    <row r="802832" spans="4:4" x14ac:dyDescent="0.35">
      <c r="D802832" s="16">
        <v>10</v>
      </c>
    </row>
    <row r="802833" spans="4:4" x14ac:dyDescent="0.35">
      <c r="D802833" s="16" t="s">
        <v>55</v>
      </c>
    </row>
    <row r="802834" spans="4:4" x14ac:dyDescent="0.35">
      <c r="D802834" s="16">
        <v>50</v>
      </c>
    </row>
    <row r="802835" spans="4:4" x14ac:dyDescent="0.35">
      <c r="D802835" s="16">
        <v>7</v>
      </c>
    </row>
    <row r="802836" spans="4:4" x14ac:dyDescent="0.35">
      <c r="D802836" s="17">
        <f>ROUNDDOWN(D802838/D802835,0)</f>
        <v>38</v>
      </c>
    </row>
    <row r="802837" spans="4:4" x14ac:dyDescent="0.35">
      <c r="D802837" s="18">
        <v>9</v>
      </c>
    </row>
    <row r="802838" spans="4:4" x14ac:dyDescent="0.35">
      <c r="D802838" s="18">
        <f>D802837*30</f>
        <v>270</v>
      </c>
    </row>
    <row r="802839" spans="4:4" x14ac:dyDescent="0.35">
      <c r="D802839" s="19">
        <f>38*D802832</f>
        <v>380</v>
      </c>
    </row>
    <row r="802840" spans="4:4" x14ac:dyDescent="0.35">
      <c r="D802840" s="20">
        <v>50</v>
      </c>
    </row>
    <row r="802841" spans="4:4" x14ac:dyDescent="0.35">
      <c r="D802841" s="19">
        <v>50</v>
      </c>
    </row>
    <row r="802842" spans="4:4" x14ac:dyDescent="0.35">
      <c r="D802842" s="19">
        <v>325</v>
      </c>
    </row>
    <row r="802843" spans="4:4" x14ac:dyDescent="0.35">
      <c r="D802843" s="21">
        <f>D802839*D802840</f>
        <v>19000</v>
      </c>
    </row>
    <row r="802844" spans="4:4" x14ac:dyDescent="0.35">
      <c r="D802844" s="21">
        <f>D802841*D802842</f>
        <v>16250</v>
      </c>
    </row>
    <row r="802845" spans="4:4" x14ac:dyDescent="0.35">
      <c r="D802845" s="22">
        <v>1.3142499999999999</v>
      </c>
    </row>
    <row r="802846" spans="4:4" x14ac:dyDescent="0.35">
      <c r="D802846" s="23">
        <f>ROUNDDOWN(D802837*30/D802823,0)</f>
        <v>270</v>
      </c>
    </row>
    <row r="802847" spans="4:4" x14ac:dyDescent="0.35">
      <c r="D802847" s="23">
        <f>D802846*2</f>
        <v>540</v>
      </c>
    </row>
    <row r="802848" spans="4:4" x14ac:dyDescent="0.35">
      <c r="D802848" s="23" t="s">
        <v>56</v>
      </c>
    </row>
    <row r="802849" spans="4:4" x14ac:dyDescent="0.35">
      <c r="D802849" s="23">
        <v>11</v>
      </c>
    </row>
    <row r="802850" spans="4:4" x14ac:dyDescent="0.35">
      <c r="D802850" s="23">
        <f>D802847*D802849</f>
        <v>5940</v>
      </c>
    </row>
    <row r="802851" spans="4:4" x14ac:dyDescent="0.35">
      <c r="D802851" s="24">
        <f>D802843+D802844</f>
        <v>35250</v>
      </c>
    </row>
    <row r="802852" spans="4:4" x14ac:dyDescent="0.35">
      <c r="D802852" s="25">
        <f xml:space="preserve"> D802826*(D802817+D802828+D802829+D802850)+ (1-D802826)*(D802850+D802817+D802828)</f>
        <v>6340</v>
      </c>
    </row>
    <row r="802853" spans="4:4" x14ac:dyDescent="0.35">
      <c r="D802853" s="26">
        <f>D802851-D802852</f>
        <v>28910</v>
      </c>
    </row>
    <row r="802854" spans="4:4" x14ac:dyDescent="0.35">
      <c r="D802854" s="27">
        <f>D802851/D802852%</f>
        <v>555.99369085173498</v>
      </c>
    </row>
    <row r="802855" spans="4:4" x14ac:dyDescent="0.35">
      <c r="D802855" s="28">
        <v>15</v>
      </c>
    </row>
    <row r="819199" spans="4:4" x14ac:dyDescent="0.35">
      <c r="D819199" s="9">
        <v>1</v>
      </c>
    </row>
    <row r="819200" spans="4:4" ht="15.5" x14ac:dyDescent="0.35">
      <c r="D819200" s="10" t="s">
        <v>52</v>
      </c>
    </row>
    <row r="819201" spans="4:4" x14ac:dyDescent="0.35">
      <c r="D819201" s="49">
        <f>D819202*O819202</f>
        <v>0</v>
      </c>
    </row>
    <row r="819202" spans="4:4" x14ac:dyDescent="0.35">
      <c r="D819202" s="11">
        <v>300</v>
      </c>
    </row>
    <row r="819203" spans="4:4" x14ac:dyDescent="0.35">
      <c r="D819203" s="12">
        <v>299.88</v>
      </c>
    </row>
    <row r="819204" spans="4:4" x14ac:dyDescent="0.35">
      <c r="D819204" s="13" t="s">
        <v>53</v>
      </c>
    </row>
    <row r="819205" spans="4:4" x14ac:dyDescent="0.35">
      <c r="D819205" s="11" t="s">
        <v>108</v>
      </c>
    </row>
    <row r="819206" spans="4:4" x14ac:dyDescent="0.35">
      <c r="D819206" s="13" t="s">
        <v>109</v>
      </c>
    </row>
    <row r="819207" spans="4:4" x14ac:dyDescent="0.35">
      <c r="D819207" s="13">
        <v>1</v>
      </c>
    </row>
    <row r="819208" spans="4:4" x14ac:dyDescent="0.35">
      <c r="D819208" s="13">
        <v>10000</v>
      </c>
    </row>
    <row r="819209" spans="4:4" x14ac:dyDescent="0.35">
      <c r="D819209" s="14">
        <v>0.3</v>
      </c>
    </row>
    <row r="819210" spans="4:4" x14ac:dyDescent="0.35">
      <c r="D819210" s="15">
        <v>0.4</v>
      </c>
    </row>
    <row r="819211" spans="4:4" x14ac:dyDescent="0.35">
      <c r="D819211" s="11">
        <v>4</v>
      </c>
    </row>
    <row r="819212" spans="4:4" x14ac:dyDescent="0.35">
      <c r="D819212" s="11">
        <f>D819211*30</f>
        <v>120</v>
      </c>
    </row>
    <row r="819213" spans="4:4" x14ac:dyDescent="0.35">
      <c r="D819213" s="11">
        <f>D819214*70</f>
        <v>700</v>
      </c>
    </row>
    <row r="819214" spans="4:4" x14ac:dyDescent="0.35">
      <c r="D819214" s="11">
        <v>10</v>
      </c>
    </row>
    <row r="819215" spans="4:4" x14ac:dyDescent="0.35">
      <c r="D819215" s="16" t="s">
        <v>54</v>
      </c>
    </row>
    <row r="819216" spans="4:4" x14ac:dyDescent="0.35">
      <c r="D819216" s="16">
        <v>10</v>
      </c>
    </row>
    <row r="819217" spans="4:4" x14ac:dyDescent="0.35">
      <c r="D819217" s="16" t="s">
        <v>55</v>
      </c>
    </row>
    <row r="819218" spans="4:4" x14ac:dyDescent="0.35">
      <c r="D819218" s="16">
        <v>50</v>
      </c>
    </row>
    <row r="819219" spans="4:4" x14ac:dyDescent="0.35">
      <c r="D819219" s="16">
        <v>7</v>
      </c>
    </row>
    <row r="819220" spans="4:4" x14ac:dyDescent="0.35">
      <c r="D819220" s="17">
        <f>ROUNDDOWN(D819222/D819219,0)</f>
        <v>38</v>
      </c>
    </row>
    <row r="819221" spans="4:4" x14ac:dyDescent="0.35">
      <c r="D819221" s="18">
        <v>9</v>
      </c>
    </row>
    <row r="819222" spans="4:4" x14ac:dyDescent="0.35">
      <c r="D819222" s="18">
        <f>D819221*30</f>
        <v>270</v>
      </c>
    </row>
    <row r="819223" spans="4:4" x14ac:dyDescent="0.35">
      <c r="D819223" s="19">
        <f>38*D819216</f>
        <v>380</v>
      </c>
    </row>
    <row r="819224" spans="4:4" x14ac:dyDescent="0.35">
      <c r="D819224" s="20">
        <v>50</v>
      </c>
    </row>
    <row r="819225" spans="4:4" x14ac:dyDescent="0.35">
      <c r="D819225" s="19">
        <v>50</v>
      </c>
    </row>
    <row r="819226" spans="4:4" x14ac:dyDescent="0.35">
      <c r="D819226" s="19">
        <v>325</v>
      </c>
    </row>
    <row r="819227" spans="4:4" x14ac:dyDescent="0.35">
      <c r="D819227" s="21">
        <f>D819223*D819224</f>
        <v>19000</v>
      </c>
    </row>
    <row r="819228" spans="4:4" x14ac:dyDescent="0.35">
      <c r="D819228" s="21">
        <f>D819225*D819226</f>
        <v>16250</v>
      </c>
    </row>
    <row r="819229" spans="4:4" x14ac:dyDescent="0.35">
      <c r="D819229" s="22">
        <v>1.3142499999999999</v>
      </c>
    </row>
    <row r="819230" spans="4:4" x14ac:dyDescent="0.35">
      <c r="D819230" s="23">
        <f>ROUNDDOWN(D819221*30/D819207,0)</f>
        <v>270</v>
      </c>
    </row>
    <row r="819231" spans="4:4" x14ac:dyDescent="0.35">
      <c r="D819231" s="23">
        <f>D819230*2</f>
        <v>540</v>
      </c>
    </row>
    <row r="819232" spans="4:4" x14ac:dyDescent="0.35">
      <c r="D819232" s="23" t="s">
        <v>56</v>
      </c>
    </row>
    <row r="819233" spans="4:4" x14ac:dyDescent="0.35">
      <c r="D819233" s="23">
        <v>11</v>
      </c>
    </row>
    <row r="819234" spans="4:4" x14ac:dyDescent="0.35">
      <c r="D819234" s="23">
        <f>D819231*D819233</f>
        <v>5940</v>
      </c>
    </row>
    <row r="819235" spans="4:4" x14ac:dyDescent="0.35">
      <c r="D819235" s="24">
        <f>D819227+D819228</f>
        <v>35250</v>
      </c>
    </row>
    <row r="819236" spans="4:4" x14ac:dyDescent="0.35">
      <c r="D819236" s="25">
        <f xml:space="preserve"> D819210*(D819201+D819212+D819213+D819234)+ (1-D819210)*(D819234+D819201+D819212)</f>
        <v>6340</v>
      </c>
    </row>
    <row r="819237" spans="4:4" x14ac:dyDescent="0.35">
      <c r="D819237" s="26">
        <f>D819235-D819236</f>
        <v>28910</v>
      </c>
    </row>
    <row r="819238" spans="4:4" x14ac:dyDescent="0.35">
      <c r="D819238" s="27">
        <f>D819235/D819236%</f>
        <v>555.99369085173498</v>
      </c>
    </row>
    <row r="819239" spans="4:4" x14ac:dyDescent="0.35">
      <c r="D819239" s="28">
        <v>15</v>
      </c>
    </row>
    <row r="835583" spans="4:4" x14ac:dyDescent="0.35">
      <c r="D835583" s="9">
        <v>1</v>
      </c>
    </row>
    <row r="835584" spans="4:4" ht="15.5" x14ac:dyDescent="0.35">
      <c r="D835584" s="10" t="s">
        <v>52</v>
      </c>
    </row>
    <row r="835585" spans="4:4" x14ac:dyDescent="0.35">
      <c r="D835585" s="49">
        <f>D835586*O835586</f>
        <v>0</v>
      </c>
    </row>
    <row r="835586" spans="4:4" x14ac:dyDescent="0.35">
      <c r="D835586" s="11">
        <v>300</v>
      </c>
    </row>
    <row r="835587" spans="4:4" x14ac:dyDescent="0.35">
      <c r="D835587" s="12">
        <v>299.88</v>
      </c>
    </row>
    <row r="835588" spans="4:4" x14ac:dyDescent="0.35">
      <c r="D835588" s="13" t="s">
        <v>53</v>
      </c>
    </row>
    <row r="835589" spans="4:4" x14ac:dyDescent="0.35">
      <c r="D835589" s="11" t="s">
        <v>108</v>
      </c>
    </row>
    <row r="835590" spans="4:4" x14ac:dyDescent="0.35">
      <c r="D835590" s="13" t="s">
        <v>109</v>
      </c>
    </row>
    <row r="835591" spans="4:4" x14ac:dyDescent="0.35">
      <c r="D835591" s="13">
        <v>1</v>
      </c>
    </row>
    <row r="835592" spans="4:4" x14ac:dyDescent="0.35">
      <c r="D835592" s="13">
        <v>10000</v>
      </c>
    </row>
    <row r="835593" spans="4:4" x14ac:dyDescent="0.35">
      <c r="D835593" s="14">
        <v>0.3</v>
      </c>
    </row>
    <row r="835594" spans="4:4" x14ac:dyDescent="0.35">
      <c r="D835594" s="15">
        <v>0.4</v>
      </c>
    </row>
    <row r="835595" spans="4:4" x14ac:dyDescent="0.35">
      <c r="D835595" s="11">
        <v>4</v>
      </c>
    </row>
    <row r="835596" spans="4:4" x14ac:dyDescent="0.35">
      <c r="D835596" s="11">
        <f>D835595*30</f>
        <v>120</v>
      </c>
    </row>
    <row r="835597" spans="4:4" x14ac:dyDescent="0.35">
      <c r="D835597" s="11">
        <f>D835598*70</f>
        <v>700</v>
      </c>
    </row>
    <row r="835598" spans="4:4" x14ac:dyDescent="0.35">
      <c r="D835598" s="11">
        <v>10</v>
      </c>
    </row>
    <row r="835599" spans="4:4" x14ac:dyDescent="0.35">
      <c r="D835599" s="16" t="s">
        <v>54</v>
      </c>
    </row>
    <row r="835600" spans="4:4" x14ac:dyDescent="0.35">
      <c r="D835600" s="16">
        <v>10</v>
      </c>
    </row>
    <row r="835601" spans="4:4" x14ac:dyDescent="0.35">
      <c r="D835601" s="16" t="s">
        <v>55</v>
      </c>
    </row>
    <row r="835602" spans="4:4" x14ac:dyDescent="0.35">
      <c r="D835602" s="16">
        <v>50</v>
      </c>
    </row>
    <row r="835603" spans="4:4" x14ac:dyDescent="0.35">
      <c r="D835603" s="16">
        <v>7</v>
      </c>
    </row>
    <row r="835604" spans="4:4" x14ac:dyDescent="0.35">
      <c r="D835604" s="17">
        <f>ROUNDDOWN(D835606/D835603,0)</f>
        <v>38</v>
      </c>
    </row>
    <row r="835605" spans="4:4" x14ac:dyDescent="0.35">
      <c r="D835605" s="18">
        <v>9</v>
      </c>
    </row>
    <row r="835606" spans="4:4" x14ac:dyDescent="0.35">
      <c r="D835606" s="18">
        <f>D835605*30</f>
        <v>270</v>
      </c>
    </row>
    <row r="835607" spans="4:4" x14ac:dyDescent="0.35">
      <c r="D835607" s="19">
        <f>38*D835600</f>
        <v>380</v>
      </c>
    </row>
    <row r="835608" spans="4:4" x14ac:dyDescent="0.35">
      <c r="D835608" s="20">
        <v>50</v>
      </c>
    </row>
    <row r="835609" spans="4:4" x14ac:dyDescent="0.35">
      <c r="D835609" s="19">
        <v>50</v>
      </c>
    </row>
    <row r="835610" spans="4:4" x14ac:dyDescent="0.35">
      <c r="D835610" s="19">
        <v>325</v>
      </c>
    </row>
    <row r="835611" spans="4:4" x14ac:dyDescent="0.35">
      <c r="D835611" s="21">
        <f>D835607*D835608</f>
        <v>19000</v>
      </c>
    </row>
    <row r="835612" spans="4:4" x14ac:dyDescent="0.35">
      <c r="D835612" s="21">
        <f>D835609*D835610</f>
        <v>16250</v>
      </c>
    </row>
    <row r="835613" spans="4:4" x14ac:dyDescent="0.35">
      <c r="D835613" s="22">
        <v>1.3142499999999999</v>
      </c>
    </row>
    <row r="835614" spans="4:4" x14ac:dyDescent="0.35">
      <c r="D835614" s="23">
        <f>ROUNDDOWN(D835605*30/D835591,0)</f>
        <v>270</v>
      </c>
    </row>
    <row r="835615" spans="4:4" x14ac:dyDescent="0.35">
      <c r="D835615" s="23">
        <f>D835614*2</f>
        <v>540</v>
      </c>
    </row>
    <row r="835616" spans="4:4" x14ac:dyDescent="0.35">
      <c r="D835616" s="23" t="s">
        <v>56</v>
      </c>
    </row>
    <row r="835617" spans="4:4" x14ac:dyDescent="0.35">
      <c r="D835617" s="23">
        <v>11</v>
      </c>
    </row>
    <row r="835618" spans="4:4" x14ac:dyDescent="0.35">
      <c r="D835618" s="23">
        <f>D835615*D835617</f>
        <v>5940</v>
      </c>
    </row>
    <row r="835619" spans="4:4" x14ac:dyDescent="0.35">
      <c r="D835619" s="24">
        <f>D835611+D835612</f>
        <v>35250</v>
      </c>
    </row>
    <row r="835620" spans="4:4" x14ac:dyDescent="0.35">
      <c r="D835620" s="25">
        <f xml:space="preserve"> D835594*(D835585+D835596+D835597+D835618)+ (1-D835594)*(D835618+D835585+D835596)</f>
        <v>6340</v>
      </c>
    </row>
    <row r="835621" spans="4:4" x14ac:dyDescent="0.35">
      <c r="D835621" s="26">
        <f>D835619-D835620</f>
        <v>28910</v>
      </c>
    </row>
    <row r="835622" spans="4:4" x14ac:dyDescent="0.35">
      <c r="D835622" s="27">
        <f>D835619/D835620%</f>
        <v>555.99369085173498</v>
      </c>
    </row>
    <row r="835623" spans="4:4" x14ac:dyDescent="0.35">
      <c r="D835623" s="28">
        <v>15</v>
      </c>
    </row>
    <row r="851967" spans="4:4" x14ac:dyDescent="0.35">
      <c r="D851967" s="9">
        <v>1</v>
      </c>
    </row>
    <row r="851968" spans="4:4" ht="15.5" x14ac:dyDescent="0.35">
      <c r="D851968" s="10" t="s">
        <v>52</v>
      </c>
    </row>
    <row r="851969" spans="4:4" x14ac:dyDescent="0.35">
      <c r="D851969" s="49">
        <f>D851970*O851970</f>
        <v>0</v>
      </c>
    </row>
    <row r="851970" spans="4:4" x14ac:dyDescent="0.35">
      <c r="D851970" s="11">
        <v>300</v>
      </c>
    </row>
    <row r="851971" spans="4:4" x14ac:dyDescent="0.35">
      <c r="D851971" s="12">
        <v>299.88</v>
      </c>
    </row>
    <row r="851972" spans="4:4" x14ac:dyDescent="0.35">
      <c r="D851972" s="13" t="s">
        <v>53</v>
      </c>
    </row>
    <row r="851973" spans="4:4" x14ac:dyDescent="0.35">
      <c r="D851973" s="11" t="s">
        <v>108</v>
      </c>
    </row>
    <row r="851974" spans="4:4" x14ac:dyDescent="0.35">
      <c r="D851974" s="13" t="s">
        <v>109</v>
      </c>
    </row>
    <row r="851975" spans="4:4" x14ac:dyDescent="0.35">
      <c r="D851975" s="13">
        <v>1</v>
      </c>
    </row>
    <row r="851976" spans="4:4" x14ac:dyDescent="0.35">
      <c r="D851976" s="13">
        <v>10000</v>
      </c>
    </row>
    <row r="851977" spans="4:4" x14ac:dyDescent="0.35">
      <c r="D851977" s="14">
        <v>0.3</v>
      </c>
    </row>
    <row r="851978" spans="4:4" x14ac:dyDescent="0.35">
      <c r="D851978" s="15">
        <v>0.4</v>
      </c>
    </row>
    <row r="851979" spans="4:4" x14ac:dyDescent="0.35">
      <c r="D851979" s="11">
        <v>4</v>
      </c>
    </row>
    <row r="851980" spans="4:4" x14ac:dyDescent="0.35">
      <c r="D851980" s="11">
        <f>D851979*30</f>
        <v>120</v>
      </c>
    </row>
    <row r="851981" spans="4:4" x14ac:dyDescent="0.35">
      <c r="D851981" s="11">
        <f>D851982*70</f>
        <v>700</v>
      </c>
    </row>
    <row r="851982" spans="4:4" x14ac:dyDescent="0.35">
      <c r="D851982" s="11">
        <v>10</v>
      </c>
    </row>
    <row r="851983" spans="4:4" x14ac:dyDescent="0.35">
      <c r="D851983" s="16" t="s">
        <v>54</v>
      </c>
    </row>
    <row r="851984" spans="4:4" x14ac:dyDescent="0.35">
      <c r="D851984" s="16">
        <v>10</v>
      </c>
    </row>
    <row r="851985" spans="4:4" x14ac:dyDescent="0.35">
      <c r="D851985" s="16" t="s">
        <v>55</v>
      </c>
    </row>
    <row r="851986" spans="4:4" x14ac:dyDescent="0.35">
      <c r="D851986" s="16">
        <v>50</v>
      </c>
    </row>
    <row r="851987" spans="4:4" x14ac:dyDescent="0.35">
      <c r="D851987" s="16">
        <v>7</v>
      </c>
    </row>
    <row r="851988" spans="4:4" x14ac:dyDescent="0.35">
      <c r="D851988" s="17">
        <f>ROUNDDOWN(D851990/D851987,0)</f>
        <v>38</v>
      </c>
    </row>
    <row r="851989" spans="4:4" x14ac:dyDescent="0.35">
      <c r="D851989" s="18">
        <v>9</v>
      </c>
    </row>
    <row r="851990" spans="4:4" x14ac:dyDescent="0.35">
      <c r="D851990" s="18">
        <f>D851989*30</f>
        <v>270</v>
      </c>
    </row>
    <row r="851991" spans="4:4" x14ac:dyDescent="0.35">
      <c r="D851991" s="19">
        <f>38*D851984</f>
        <v>380</v>
      </c>
    </row>
    <row r="851992" spans="4:4" x14ac:dyDescent="0.35">
      <c r="D851992" s="20">
        <v>50</v>
      </c>
    </row>
    <row r="851993" spans="4:4" x14ac:dyDescent="0.35">
      <c r="D851993" s="19">
        <v>50</v>
      </c>
    </row>
    <row r="851994" spans="4:4" x14ac:dyDescent="0.35">
      <c r="D851994" s="19">
        <v>325</v>
      </c>
    </row>
    <row r="851995" spans="4:4" x14ac:dyDescent="0.35">
      <c r="D851995" s="21">
        <f>D851991*D851992</f>
        <v>19000</v>
      </c>
    </row>
    <row r="851996" spans="4:4" x14ac:dyDescent="0.35">
      <c r="D851996" s="21">
        <f>D851993*D851994</f>
        <v>16250</v>
      </c>
    </row>
    <row r="851997" spans="4:4" x14ac:dyDescent="0.35">
      <c r="D851997" s="22">
        <v>1.3142499999999999</v>
      </c>
    </row>
    <row r="851998" spans="4:4" x14ac:dyDescent="0.35">
      <c r="D851998" s="23">
        <f>ROUNDDOWN(D851989*30/D851975,0)</f>
        <v>270</v>
      </c>
    </row>
    <row r="851999" spans="4:4" x14ac:dyDescent="0.35">
      <c r="D851999" s="23">
        <f>D851998*2</f>
        <v>540</v>
      </c>
    </row>
    <row r="852000" spans="4:4" x14ac:dyDescent="0.35">
      <c r="D852000" s="23" t="s">
        <v>56</v>
      </c>
    </row>
    <row r="852001" spans="4:4" x14ac:dyDescent="0.35">
      <c r="D852001" s="23">
        <v>11</v>
      </c>
    </row>
    <row r="852002" spans="4:4" x14ac:dyDescent="0.35">
      <c r="D852002" s="23">
        <f>D851999*D852001</f>
        <v>5940</v>
      </c>
    </row>
    <row r="852003" spans="4:4" x14ac:dyDescent="0.35">
      <c r="D852003" s="24">
        <f>D851995+D851996</f>
        <v>35250</v>
      </c>
    </row>
    <row r="852004" spans="4:4" x14ac:dyDescent="0.35">
      <c r="D852004" s="25">
        <f xml:space="preserve"> D851978*(D851969+D851980+D851981+D852002)+ (1-D851978)*(D852002+D851969+D851980)</f>
        <v>6340</v>
      </c>
    </row>
    <row r="852005" spans="4:4" x14ac:dyDescent="0.35">
      <c r="D852005" s="26">
        <f>D852003-D852004</f>
        <v>28910</v>
      </c>
    </row>
    <row r="852006" spans="4:4" x14ac:dyDescent="0.35">
      <c r="D852006" s="27">
        <f>D852003/D852004%</f>
        <v>555.99369085173498</v>
      </c>
    </row>
    <row r="852007" spans="4:4" x14ac:dyDescent="0.35">
      <c r="D852007" s="28">
        <v>15</v>
      </c>
    </row>
    <row r="868351" spans="4:4" x14ac:dyDescent="0.35">
      <c r="D868351" s="9">
        <v>1</v>
      </c>
    </row>
    <row r="868352" spans="4:4" ht="15.5" x14ac:dyDescent="0.35">
      <c r="D868352" s="10" t="s">
        <v>52</v>
      </c>
    </row>
    <row r="868353" spans="4:4" x14ac:dyDescent="0.35">
      <c r="D868353" s="49">
        <f>D868354*O868354</f>
        <v>0</v>
      </c>
    </row>
    <row r="868354" spans="4:4" x14ac:dyDescent="0.35">
      <c r="D868354" s="11">
        <v>300</v>
      </c>
    </row>
    <row r="868355" spans="4:4" x14ac:dyDescent="0.35">
      <c r="D868355" s="12">
        <v>299.88</v>
      </c>
    </row>
    <row r="868356" spans="4:4" x14ac:dyDescent="0.35">
      <c r="D868356" s="13" t="s">
        <v>53</v>
      </c>
    </row>
    <row r="868357" spans="4:4" x14ac:dyDescent="0.35">
      <c r="D868357" s="11" t="s">
        <v>108</v>
      </c>
    </row>
    <row r="868358" spans="4:4" x14ac:dyDescent="0.35">
      <c r="D868358" s="13" t="s">
        <v>109</v>
      </c>
    </row>
    <row r="868359" spans="4:4" x14ac:dyDescent="0.35">
      <c r="D868359" s="13">
        <v>1</v>
      </c>
    </row>
    <row r="868360" spans="4:4" x14ac:dyDescent="0.35">
      <c r="D868360" s="13">
        <v>10000</v>
      </c>
    </row>
    <row r="868361" spans="4:4" x14ac:dyDescent="0.35">
      <c r="D868361" s="14">
        <v>0.3</v>
      </c>
    </row>
    <row r="868362" spans="4:4" x14ac:dyDescent="0.35">
      <c r="D868362" s="15">
        <v>0.4</v>
      </c>
    </row>
    <row r="868363" spans="4:4" x14ac:dyDescent="0.35">
      <c r="D868363" s="11">
        <v>4</v>
      </c>
    </row>
    <row r="868364" spans="4:4" x14ac:dyDescent="0.35">
      <c r="D868364" s="11">
        <f>D868363*30</f>
        <v>120</v>
      </c>
    </row>
    <row r="868365" spans="4:4" x14ac:dyDescent="0.35">
      <c r="D868365" s="11">
        <f>D868366*70</f>
        <v>700</v>
      </c>
    </row>
    <row r="868366" spans="4:4" x14ac:dyDescent="0.35">
      <c r="D868366" s="11">
        <v>10</v>
      </c>
    </row>
    <row r="868367" spans="4:4" x14ac:dyDescent="0.35">
      <c r="D868367" s="16" t="s">
        <v>54</v>
      </c>
    </row>
    <row r="868368" spans="4:4" x14ac:dyDescent="0.35">
      <c r="D868368" s="16">
        <v>10</v>
      </c>
    </row>
    <row r="868369" spans="4:4" x14ac:dyDescent="0.35">
      <c r="D868369" s="16" t="s">
        <v>55</v>
      </c>
    </row>
    <row r="868370" spans="4:4" x14ac:dyDescent="0.35">
      <c r="D868370" s="16">
        <v>50</v>
      </c>
    </row>
    <row r="868371" spans="4:4" x14ac:dyDescent="0.35">
      <c r="D868371" s="16">
        <v>7</v>
      </c>
    </row>
    <row r="868372" spans="4:4" x14ac:dyDescent="0.35">
      <c r="D868372" s="17">
        <f>ROUNDDOWN(D868374/D868371,0)</f>
        <v>38</v>
      </c>
    </row>
    <row r="868373" spans="4:4" x14ac:dyDescent="0.35">
      <c r="D868373" s="18">
        <v>9</v>
      </c>
    </row>
    <row r="868374" spans="4:4" x14ac:dyDescent="0.35">
      <c r="D868374" s="18">
        <f>D868373*30</f>
        <v>270</v>
      </c>
    </row>
    <row r="868375" spans="4:4" x14ac:dyDescent="0.35">
      <c r="D868375" s="19">
        <f>38*D868368</f>
        <v>380</v>
      </c>
    </row>
    <row r="868376" spans="4:4" x14ac:dyDescent="0.35">
      <c r="D868376" s="20">
        <v>50</v>
      </c>
    </row>
    <row r="868377" spans="4:4" x14ac:dyDescent="0.35">
      <c r="D868377" s="19">
        <v>50</v>
      </c>
    </row>
    <row r="868378" spans="4:4" x14ac:dyDescent="0.35">
      <c r="D868378" s="19">
        <v>325</v>
      </c>
    </row>
    <row r="868379" spans="4:4" x14ac:dyDescent="0.35">
      <c r="D868379" s="21">
        <f>D868375*D868376</f>
        <v>19000</v>
      </c>
    </row>
    <row r="868380" spans="4:4" x14ac:dyDescent="0.35">
      <c r="D868380" s="21">
        <f>D868377*D868378</f>
        <v>16250</v>
      </c>
    </row>
    <row r="868381" spans="4:4" x14ac:dyDescent="0.35">
      <c r="D868381" s="22">
        <v>1.3142499999999999</v>
      </c>
    </row>
    <row r="868382" spans="4:4" x14ac:dyDescent="0.35">
      <c r="D868382" s="23">
        <f>ROUNDDOWN(D868373*30/D868359,0)</f>
        <v>270</v>
      </c>
    </row>
    <row r="868383" spans="4:4" x14ac:dyDescent="0.35">
      <c r="D868383" s="23">
        <f>D868382*2</f>
        <v>540</v>
      </c>
    </row>
    <row r="868384" spans="4:4" x14ac:dyDescent="0.35">
      <c r="D868384" s="23" t="s">
        <v>56</v>
      </c>
    </row>
    <row r="868385" spans="4:4" x14ac:dyDescent="0.35">
      <c r="D868385" s="23">
        <v>11</v>
      </c>
    </row>
    <row r="868386" spans="4:4" x14ac:dyDescent="0.35">
      <c r="D868386" s="23">
        <f>D868383*D868385</f>
        <v>5940</v>
      </c>
    </row>
    <row r="868387" spans="4:4" x14ac:dyDescent="0.35">
      <c r="D868387" s="24">
        <f>D868379+D868380</f>
        <v>35250</v>
      </c>
    </row>
    <row r="868388" spans="4:4" x14ac:dyDescent="0.35">
      <c r="D868388" s="25">
        <f xml:space="preserve"> D868362*(D868353+D868364+D868365+D868386)+ (1-D868362)*(D868386+D868353+D868364)</f>
        <v>6340</v>
      </c>
    </row>
    <row r="868389" spans="4:4" x14ac:dyDescent="0.35">
      <c r="D868389" s="26">
        <f>D868387-D868388</f>
        <v>28910</v>
      </c>
    </row>
    <row r="868390" spans="4:4" x14ac:dyDescent="0.35">
      <c r="D868390" s="27">
        <f>D868387/D868388%</f>
        <v>555.99369085173498</v>
      </c>
    </row>
    <row r="868391" spans="4:4" x14ac:dyDescent="0.35">
      <c r="D868391" s="28">
        <v>15</v>
      </c>
    </row>
    <row r="884735" spans="4:4" x14ac:dyDescent="0.35">
      <c r="D884735" s="9">
        <v>1</v>
      </c>
    </row>
    <row r="884736" spans="4:4" ht="15.5" x14ac:dyDescent="0.35">
      <c r="D884736" s="10" t="s">
        <v>52</v>
      </c>
    </row>
    <row r="884737" spans="4:4" x14ac:dyDescent="0.35">
      <c r="D884737" s="49">
        <f>D884738*O884738</f>
        <v>0</v>
      </c>
    </row>
    <row r="884738" spans="4:4" x14ac:dyDescent="0.35">
      <c r="D884738" s="11">
        <v>300</v>
      </c>
    </row>
    <row r="884739" spans="4:4" x14ac:dyDescent="0.35">
      <c r="D884739" s="12">
        <v>299.88</v>
      </c>
    </row>
    <row r="884740" spans="4:4" x14ac:dyDescent="0.35">
      <c r="D884740" s="13" t="s">
        <v>53</v>
      </c>
    </row>
    <row r="884741" spans="4:4" x14ac:dyDescent="0.35">
      <c r="D884741" s="11" t="s">
        <v>108</v>
      </c>
    </row>
    <row r="884742" spans="4:4" x14ac:dyDescent="0.35">
      <c r="D884742" s="13" t="s">
        <v>109</v>
      </c>
    </row>
    <row r="884743" spans="4:4" x14ac:dyDescent="0.35">
      <c r="D884743" s="13">
        <v>1</v>
      </c>
    </row>
    <row r="884744" spans="4:4" x14ac:dyDescent="0.35">
      <c r="D884744" s="13">
        <v>10000</v>
      </c>
    </row>
    <row r="884745" spans="4:4" x14ac:dyDescent="0.35">
      <c r="D884745" s="14">
        <v>0.3</v>
      </c>
    </row>
    <row r="884746" spans="4:4" x14ac:dyDescent="0.35">
      <c r="D884746" s="15">
        <v>0.4</v>
      </c>
    </row>
    <row r="884747" spans="4:4" x14ac:dyDescent="0.35">
      <c r="D884747" s="11">
        <v>4</v>
      </c>
    </row>
    <row r="884748" spans="4:4" x14ac:dyDescent="0.35">
      <c r="D884748" s="11">
        <f>D884747*30</f>
        <v>120</v>
      </c>
    </row>
    <row r="884749" spans="4:4" x14ac:dyDescent="0.35">
      <c r="D884749" s="11">
        <f>D884750*70</f>
        <v>700</v>
      </c>
    </row>
    <row r="884750" spans="4:4" x14ac:dyDescent="0.35">
      <c r="D884750" s="11">
        <v>10</v>
      </c>
    </row>
    <row r="884751" spans="4:4" x14ac:dyDescent="0.35">
      <c r="D884751" s="16" t="s">
        <v>54</v>
      </c>
    </row>
    <row r="884752" spans="4:4" x14ac:dyDescent="0.35">
      <c r="D884752" s="16">
        <v>10</v>
      </c>
    </row>
    <row r="884753" spans="4:4" x14ac:dyDescent="0.35">
      <c r="D884753" s="16" t="s">
        <v>55</v>
      </c>
    </row>
    <row r="884754" spans="4:4" x14ac:dyDescent="0.35">
      <c r="D884754" s="16">
        <v>50</v>
      </c>
    </row>
    <row r="884755" spans="4:4" x14ac:dyDescent="0.35">
      <c r="D884755" s="16">
        <v>7</v>
      </c>
    </row>
    <row r="884756" spans="4:4" x14ac:dyDescent="0.35">
      <c r="D884756" s="17">
        <f>ROUNDDOWN(D884758/D884755,0)</f>
        <v>38</v>
      </c>
    </row>
    <row r="884757" spans="4:4" x14ac:dyDescent="0.35">
      <c r="D884757" s="18">
        <v>9</v>
      </c>
    </row>
    <row r="884758" spans="4:4" x14ac:dyDescent="0.35">
      <c r="D884758" s="18">
        <f>D884757*30</f>
        <v>270</v>
      </c>
    </row>
    <row r="884759" spans="4:4" x14ac:dyDescent="0.35">
      <c r="D884759" s="19">
        <f>38*D884752</f>
        <v>380</v>
      </c>
    </row>
    <row r="884760" spans="4:4" x14ac:dyDescent="0.35">
      <c r="D884760" s="20">
        <v>50</v>
      </c>
    </row>
    <row r="884761" spans="4:4" x14ac:dyDescent="0.35">
      <c r="D884761" s="19">
        <v>50</v>
      </c>
    </row>
    <row r="884762" spans="4:4" x14ac:dyDescent="0.35">
      <c r="D884762" s="19">
        <v>325</v>
      </c>
    </row>
    <row r="884763" spans="4:4" x14ac:dyDescent="0.35">
      <c r="D884763" s="21">
        <f>D884759*D884760</f>
        <v>19000</v>
      </c>
    </row>
    <row r="884764" spans="4:4" x14ac:dyDescent="0.35">
      <c r="D884764" s="21">
        <f>D884761*D884762</f>
        <v>16250</v>
      </c>
    </row>
    <row r="884765" spans="4:4" x14ac:dyDescent="0.35">
      <c r="D884765" s="22">
        <v>1.3142499999999999</v>
      </c>
    </row>
    <row r="884766" spans="4:4" x14ac:dyDescent="0.35">
      <c r="D884766" s="23">
        <f>ROUNDDOWN(D884757*30/D884743,0)</f>
        <v>270</v>
      </c>
    </row>
    <row r="884767" spans="4:4" x14ac:dyDescent="0.35">
      <c r="D884767" s="23">
        <f>D884766*2</f>
        <v>540</v>
      </c>
    </row>
    <row r="884768" spans="4:4" x14ac:dyDescent="0.35">
      <c r="D884768" s="23" t="s">
        <v>56</v>
      </c>
    </row>
    <row r="884769" spans="4:4" x14ac:dyDescent="0.35">
      <c r="D884769" s="23">
        <v>11</v>
      </c>
    </row>
    <row r="884770" spans="4:4" x14ac:dyDescent="0.35">
      <c r="D884770" s="23">
        <f>D884767*D884769</f>
        <v>5940</v>
      </c>
    </row>
    <row r="884771" spans="4:4" x14ac:dyDescent="0.35">
      <c r="D884771" s="24">
        <f>D884763+D884764</f>
        <v>35250</v>
      </c>
    </row>
    <row r="884772" spans="4:4" x14ac:dyDescent="0.35">
      <c r="D884772" s="25">
        <f xml:space="preserve"> D884746*(D884737+D884748+D884749+D884770)+ (1-D884746)*(D884770+D884737+D884748)</f>
        <v>6340</v>
      </c>
    </row>
    <row r="884773" spans="4:4" x14ac:dyDescent="0.35">
      <c r="D884773" s="26">
        <f>D884771-D884772</f>
        <v>28910</v>
      </c>
    </row>
    <row r="884774" spans="4:4" x14ac:dyDescent="0.35">
      <c r="D884774" s="27">
        <f>D884771/D884772%</f>
        <v>555.99369085173498</v>
      </c>
    </row>
    <row r="884775" spans="4:4" x14ac:dyDescent="0.35">
      <c r="D884775" s="28">
        <v>15</v>
      </c>
    </row>
    <row r="901119" spans="4:4" x14ac:dyDescent="0.35">
      <c r="D901119" s="9">
        <v>1</v>
      </c>
    </row>
    <row r="901120" spans="4:4" ht="15.5" x14ac:dyDescent="0.35">
      <c r="D901120" s="10" t="s">
        <v>52</v>
      </c>
    </row>
    <row r="901121" spans="4:4" x14ac:dyDescent="0.35">
      <c r="D901121" s="49">
        <f>D901122*O901122</f>
        <v>0</v>
      </c>
    </row>
    <row r="901122" spans="4:4" x14ac:dyDescent="0.35">
      <c r="D901122" s="11">
        <v>300</v>
      </c>
    </row>
    <row r="901123" spans="4:4" x14ac:dyDescent="0.35">
      <c r="D901123" s="12">
        <v>299.88</v>
      </c>
    </row>
    <row r="901124" spans="4:4" x14ac:dyDescent="0.35">
      <c r="D901124" s="13" t="s">
        <v>53</v>
      </c>
    </row>
    <row r="901125" spans="4:4" x14ac:dyDescent="0.35">
      <c r="D901125" s="11" t="s">
        <v>108</v>
      </c>
    </row>
    <row r="901126" spans="4:4" x14ac:dyDescent="0.35">
      <c r="D901126" s="13" t="s">
        <v>109</v>
      </c>
    </row>
    <row r="901127" spans="4:4" x14ac:dyDescent="0.35">
      <c r="D901127" s="13">
        <v>1</v>
      </c>
    </row>
    <row r="901128" spans="4:4" x14ac:dyDescent="0.35">
      <c r="D901128" s="13">
        <v>10000</v>
      </c>
    </row>
    <row r="901129" spans="4:4" x14ac:dyDescent="0.35">
      <c r="D901129" s="14">
        <v>0.3</v>
      </c>
    </row>
    <row r="901130" spans="4:4" x14ac:dyDescent="0.35">
      <c r="D901130" s="15">
        <v>0.4</v>
      </c>
    </row>
    <row r="901131" spans="4:4" x14ac:dyDescent="0.35">
      <c r="D901131" s="11">
        <v>4</v>
      </c>
    </row>
    <row r="901132" spans="4:4" x14ac:dyDescent="0.35">
      <c r="D901132" s="11">
        <f>D901131*30</f>
        <v>120</v>
      </c>
    </row>
    <row r="901133" spans="4:4" x14ac:dyDescent="0.35">
      <c r="D901133" s="11">
        <f>D901134*70</f>
        <v>700</v>
      </c>
    </row>
    <row r="901134" spans="4:4" x14ac:dyDescent="0.35">
      <c r="D901134" s="11">
        <v>10</v>
      </c>
    </row>
    <row r="901135" spans="4:4" x14ac:dyDescent="0.35">
      <c r="D901135" s="16" t="s">
        <v>54</v>
      </c>
    </row>
    <row r="901136" spans="4:4" x14ac:dyDescent="0.35">
      <c r="D901136" s="16">
        <v>10</v>
      </c>
    </row>
    <row r="901137" spans="4:4" x14ac:dyDescent="0.35">
      <c r="D901137" s="16" t="s">
        <v>55</v>
      </c>
    </row>
    <row r="901138" spans="4:4" x14ac:dyDescent="0.35">
      <c r="D901138" s="16">
        <v>50</v>
      </c>
    </row>
    <row r="901139" spans="4:4" x14ac:dyDescent="0.35">
      <c r="D901139" s="16">
        <v>7</v>
      </c>
    </row>
    <row r="901140" spans="4:4" x14ac:dyDescent="0.35">
      <c r="D901140" s="17">
        <f>ROUNDDOWN(D901142/D901139,0)</f>
        <v>38</v>
      </c>
    </row>
    <row r="901141" spans="4:4" x14ac:dyDescent="0.35">
      <c r="D901141" s="18">
        <v>9</v>
      </c>
    </row>
    <row r="901142" spans="4:4" x14ac:dyDescent="0.35">
      <c r="D901142" s="18">
        <f>D901141*30</f>
        <v>270</v>
      </c>
    </row>
    <row r="901143" spans="4:4" x14ac:dyDescent="0.35">
      <c r="D901143" s="19">
        <f>38*D901136</f>
        <v>380</v>
      </c>
    </row>
    <row r="901144" spans="4:4" x14ac:dyDescent="0.35">
      <c r="D901144" s="20">
        <v>50</v>
      </c>
    </row>
    <row r="901145" spans="4:4" x14ac:dyDescent="0.35">
      <c r="D901145" s="19">
        <v>50</v>
      </c>
    </row>
    <row r="901146" spans="4:4" x14ac:dyDescent="0.35">
      <c r="D901146" s="19">
        <v>325</v>
      </c>
    </row>
    <row r="901147" spans="4:4" x14ac:dyDescent="0.35">
      <c r="D901147" s="21">
        <f>D901143*D901144</f>
        <v>19000</v>
      </c>
    </row>
    <row r="901148" spans="4:4" x14ac:dyDescent="0.35">
      <c r="D901148" s="21">
        <f>D901145*D901146</f>
        <v>16250</v>
      </c>
    </row>
    <row r="901149" spans="4:4" x14ac:dyDescent="0.35">
      <c r="D901149" s="22">
        <v>1.3142499999999999</v>
      </c>
    </row>
    <row r="901150" spans="4:4" x14ac:dyDescent="0.35">
      <c r="D901150" s="23">
        <f>ROUNDDOWN(D901141*30/D901127,0)</f>
        <v>270</v>
      </c>
    </row>
    <row r="901151" spans="4:4" x14ac:dyDescent="0.35">
      <c r="D901151" s="23">
        <f>D901150*2</f>
        <v>540</v>
      </c>
    </row>
    <row r="901152" spans="4:4" x14ac:dyDescent="0.35">
      <c r="D901152" s="23" t="s">
        <v>56</v>
      </c>
    </row>
    <row r="901153" spans="4:4" x14ac:dyDescent="0.35">
      <c r="D901153" s="23">
        <v>11</v>
      </c>
    </row>
    <row r="901154" spans="4:4" x14ac:dyDescent="0.35">
      <c r="D901154" s="23">
        <f>D901151*D901153</f>
        <v>5940</v>
      </c>
    </row>
    <row r="901155" spans="4:4" x14ac:dyDescent="0.35">
      <c r="D901155" s="24">
        <f>D901147+D901148</f>
        <v>35250</v>
      </c>
    </row>
    <row r="901156" spans="4:4" x14ac:dyDescent="0.35">
      <c r="D901156" s="25">
        <f xml:space="preserve"> D901130*(D901121+D901132+D901133+D901154)+ (1-D901130)*(D901154+D901121+D901132)</f>
        <v>6340</v>
      </c>
    </row>
    <row r="901157" spans="4:4" x14ac:dyDescent="0.35">
      <c r="D901157" s="26">
        <f>D901155-D901156</f>
        <v>28910</v>
      </c>
    </row>
    <row r="901158" spans="4:4" x14ac:dyDescent="0.35">
      <c r="D901158" s="27">
        <f>D901155/D901156%</f>
        <v>555.99369085173498</v>
      </c>
    </row>
    <row r="901159" spans="4:4" x14ac:dyDescent="0.35">
      <c r="D901159" s="28">
        <v>15</v>
      </c>
    </row>
    <row r="917503" spans="4:4" x14ac:dyDescent="0.35">
      <c r="D917503" s="9">
        <v>1</v>
      </c>
    </row>
    <row r="917504" spans="4:4" ht="15.5" x14ac:dyDescent="0.35">
      <c r="D917504" s="10" t="s">
        <v>52</v>
      </c>
    </row>
    <row r="917505" spans="4:4" x14ac:dyDescent="0.35">
      <c r="D917505" s="49">
        <f>D917506*O917506</f>
        <v>0</v>
      </c>
    </row>
    <row r="917506" spans="4:4" x14ac:dyDescent="0.35">
      <c r="D917506" s="11">
        <v>300</v>
      </c>
    </row>
    <row r="917507" spans="4:4" x14ac:dyDescent="0.35">
      <c r="D917507" s="12">
        <v>299.88</v>
      </c>
    </row>
    <row r="917508" spans="4:4" x14ac:dyDescent="0.35">
      <c r="D917508" s="13" t="s">
        <v>53</v>
      </c>
    </row>
    <row r="917509" spans="4:4" x14ac:dyDescent="0.35">
      <c r="D917509" s="11" t="s">
        <v>108</v>
      </c>
    </row>
    <row r="917510" spans="4:4" x14ac:dyDescent="0.35">
      <c r="D917510" s="13" t="s">
        <v>109</v>
      </c>
    </row>
    <row r="917511" spans="4:4" x14ac:dyDescent="0.35">
      <c r="D917511" s="13">
        <v>1</v>
      </c>
    </row>
    <row r="917512" spans="4:4" x14ac:dyDescent="0.35">
      <c r="D917512" s="13">
        <v>10000</v>
      </c>
    </row>
    <row r="917513" spans="4:4" x14ac:dyDescent="0.35">
      <c r="D917513" s="14">
        <v>0.3</v>
      </c>
    </row>
    <row r="917514" spans="4:4" x14ac:dyDescent="0.35">
      <c r="D917514" s="15">
        <v>0.4</v>
      </c>
    </row>
    <row r="917515" spans="4:4" x14ac:dyDescent="0.35">
      <c r="D917515" s="11">
        <v>4</v>
      </c>
    </row>
    <row r="917516" spans="4:4" x14ac:dyDescent="0.35">
      <c r="D917516" s="11">
        <f>D917515*30</f>
        <v>120</v>
      </c>
    </row>
    <row r="917517" spans="4:4" x14ac:dyDescent="0.35">
      <c r="D917517" s="11">
        <f>D917518*70</f>
        <v>700</v>
      </c>
    </row>
    <row r="917518" spans="4:4" x14ac:dyDescent="0.35">
      <c r="D917518" s="11">
        <v>10</v>
      </c>
    </row>
    <row r="917519" spans="4:4" x14ac:dyDescent="0.35">
      <c r="D917519" s="16" t="s">
        <v>54</v>
      </c>
    </row>
    <row r="917520" spans="4:4" x14ac:dyDescent="0.35">
      <c r="D917520" s="16">
        <v>10</v>
      </c>
    </row>
    <row r="917521" spans="4:4" x14ac:dyDescent="0.35">
      <c r="D917521" s="16" t="s">
        <v>55</v>
      </c>
    </row>
    <row r="917522" spans="4:4" x14ac:dyDescent="0.35">
      <c r="D917522" s="16">
        <v>50</v>
      </c>
    </row>
    <row r="917523" spans="4:4" x14ac:dyDescent="0.35">
      <c r="D917523" s="16">
        <v>7</v>
      </c>
    </row>
    <row r="917524" spans="4:4" x14ac:dyDescent="0.35">
      <c r="D917524" s="17">
        <f>ROUNDDOWN(D917526/D917523,0)</f>
        <v>38</v>
      </c>
    </row>
    <row r="917525" spans="4:4" x14ac:dyDescent="0.35">
      <c r="D917525" s="18">
        <v>9</v>
      </c>
    </row>
    <row r="917526" spans="4:4" x14ac:dyDescent="0.35">
      <c r="D917526" s="18">
        <f>D917525*30</f>
        <v>270</v>
      </c>
    </row>
    <row r="917527" spans="4:4" x14ac:dyDescent="0.35">
      <c r="D917527" s="19">
        <f>38*D917520</f>
        <v>380</v>
      </c>
    </row>
    <row r="917528" spans="4:4" x14ac:dyDescent="0.35">
      <c r="D917528" s="20">
        <v>50</v>
      </c>
    </row>
    <row r="917529" spans="4:4" x14ac:dyDescent="0.35">
      <c r="D917529" s="19">
        <v>50</v>
      </c>
    </row>
    <row r="917530" spans="4:4" x14ac:dyDescent="0.35">
      <c r="D917530" s="19">
        <v>325</v>
      </c>
    </row>
    <row r="917531" spans="4:4" x14ac:dyDescent="0.35">
      <c r="D917531" s="21">
        <f>D917527*D917528</f>
        <v>19000</v>
      </c>
    </row>
    <row r="917532" spans="4:4" x14ac:dyDescent="0.35">
      <c r="D917532" s="21">
        <f>D917529*D917530</f>
        <v>16250</v>
      </c>
    </row>
    <row r="917533" spans="4:4" x14ac:dyDescent="0.35">
      <c r="D917533" s="22">
        <v>1.3142499999999999</v>
      </c>
    </row>
    <row r="917534" spans="4:4" x14ac:dyDescent="0.35">
      <c r="D917534" s="23">
        <f>ROUNDDOWN(D917525*30/D917511,0)</f>
        <v>270</v>
      </c>
    </row>
    <row r="917535" spans="4:4" x14ac:dyDescent="0.35">
      <c r="D917535" s="23">
        <f>D917534*2</f>
        <v>540</v>
      </c>
    </row>
    <row r="917536" spans="4:4" x14ac:dyDescent="0.35">
      <c r="D917536" s="23" t="s">
        <v>56</v>
      </c>
    </row>
    <row r="917537" spans="4:4" x14ac:dyDescent="0.35">
      <c r="D917537" s="23">
        <v>11</v>
      </c>
    </row>
    <row r="917538" spans="4:4" x14ac:dyDescent="0.35">
      <c r="D917538" s="23">
        <f>D917535*D917537</f>
        <v>5940</v>
      </c>
    </row>
    <row r="917539" spans="4:4" x14ac:dyDescent="0.35">
      <c r="D917539" s="24">
        <f>D917531+D917532</f>
        <v>35250</v>
      </c>
    </row>
    <row r="917540" spans="4:4" x14ac:dyDescent="0.35">
      <c r="D917540" s="25">
        <f xml:space="preserve"> D917514*(D917505+D917516+D917517+D917538)+ (1-D917514)*(D917538+D917505+D917516)</f>
        <v>6340</v>
      </c>
    </row>
    <row r="917541" spans="4:4" x14ac:dyDescent="0.35">
      <c r="D917541" s="26">
        <f>D917539-D917540</f>
        <v>28910</v>
      </c>
    </row>
    <row r="917542" spans="4:4" x14ac:dyDescent="0.35">
      <c r="D917542" s="27">
        <f>D917539/D917540%</f>
        <v>555.99369085173498</v>
      </c>
    </row>
    <row r="917543" spans="4:4" x14ac:dyDescent="0.35">
      <c r="D917543" s="28">
        <v>15</v>
      </c>
    </row>
    <row r="933887" spans="4:4" x14ac:dyDescent="0.35">
      <c r="D933887" s="9">
        <v>1</v>
      </c>
    </row>
    <row r="933888" spans="4:4" ht="15.5" x14ac:dyDescent="0.35">
      <c r="D933888" s="10" t="s">
        <v>52</v>
      </c>
    </row>
    <row r="933889" spans="4:4" x14ac:dyDescent="0.35">
      <c r="D933889" s="49">
        <f>D933890*O933890</f>
        <v>0</v>
      </c>
    </row>
    <row r="933890" spans="4:4" x14ac:dyDescent="0.35">
      <c r="D933890" s="11">
        <v>300</v>
      </c>
    </row>
    <row r="933891" spans="4:4" x14ac:dyDescent="0.35">
      <c r="D933891" s="12">
        <v>299.88</v>
      </c>
    </row>
    <row r="933892" spans="4:4" x14ac:dyDescent="0.35">
      <c r="D933892" s="13" t="s">
        <v>53</v>
      </c>
    </row>
    <row r="933893" spans="4:4" x14ac:dyDescent="0.35">
      <c r="D933893" s="11" t="s">
        <v>108</v>
      </c>
    </row>
    <row r="933894" spans="4:4" x14ac:dyDescent="0.35">
      <c r="D933894" s="13" t="s">
        <v>109</v>
      </c>
    </row>
    <row r="933895" spans="4:4" x14ac:dyDescent="0.35">
      <c r="D933895" s="13">
        <v>1</v>
      </c>
    </row>
    <row r="933896" spans="4:4" x14ac:dyDescent="0.35">
      <c r="D933896" s="13">
        <v>10000</v>
      </c>
    </row>
    <row r="933897" spans="4:4" x14ac:dyDescent="0.35">
      <c r="D933897" s="14">
        <v>0.3</v>
      </c>
    </row>
    <row r="933898" spans="4:4" x14ac:dyDescent="0.35">
      <c r="D933898" s="15">
        <v>0.4</v>
      </c>
    </row>
    <row r="933899" spans="4:4" x14ac:dyDescent="0.35">
      <c r="D933899" s="11">
        <v>4</v>
      </c>
    </row>
    <row r="933900" spans="4:4" x14ac:dyDescent="0.35">
      <c r="D933900" s="11">
        <f>D933899*30</f>
        <v>120</v>
      </c>
    </row>
    <row r="933901" spans="4:4" x14ac:dyDescent="0.35">
      <c r="D933901" s="11">
        <f>D933902*70</f>
        <v>700</v>
      </c>
    </row>
    <row r="933902" spans="4:4" x14ac:dyDescent="0.35">
      <c r="D933902" s="11">
        <v>10</v>
      </c>
    </row>
    <row r="933903" spans="4:4" x14ac:dyDescent="0.35">
      <c r="D933903" s="16" t="s">
        <v>54</v>
      </c>
    </row>
    <row r="933904" spans="4:4" x14ac:dyDescent="0.35">
      <c r="D933904" s="16">
        <v>10</v>
      </c>
    </row>
    <row r="933905" spans="4:4" x14ac:dyDescent="0.35">
      <c r="D933905" s="16" t="s">
        <v>55</v>
      </c>
    </row>
    <row r="933906" spans="4:4" x14ac:dyDescent="0.35">
      <c r="D933906" s="16">
        <v>50</v>
      </c>
    </row>
    <row r="933907" spans="4:4" x14ac:dyDescent="0.35">
      <c r="D933907" s="16">
        <v>7</v>
      </c>
    </row>
    <row r="933908" spans="4:4" x14ac:dyDescent="0.35">
      <c r="D933908" s="17">
        <f>ROUNDDOWN(D933910/D933907,0)</f>
        <v>38</v>
      </c>
    </row>
    <row r="933909" spans="4:4" x14ac:dyDescent="0.35">
      <c r="D933909" s="18">
        <v>9</v>
      </c>
    </row>
    <row r="933910" spans="4:4" x14ac:dyDescent="0.35">
      <c r="D933910" s="18">
        <f>D933909*30</f>
        <v>270</v>
      </c>
    </row>
    <row r="933911" spans="4:4" x14ac:dyDescent="0.35">
      <c r="D933911" s="19">
        <f>38*D933904</f>
        <v>380</v>
      </c>
    </row>
    <row r="933912" spans="4:4" x14ac:dyDescent="0.35">
      <c r="D933912" s="20">
        <v>50</v>
      </c>
    </row>
    <row r="933913" spans="4:4" x14ac:dyDescent="0.35">
      <c r="D933913" s="19">
        <v>50</v>
      </c>
    </row>
    <row r="933914" spans="4:4" x14ac:dyDescent="0.35">
      <c r="D933914" s="19">
        <v>325</v>
      </c>
    </row>
    <row r="933915" spans="4:4" x14ac:dyDescent="0.35">
      <c r="D933915" s="21">
        <f>D933911*D933912</f>
        <v>19000</v>
      </c>
    </row>
    <row r="933916" spans="4:4" x14ac:dyDescent="0.35">
      <c r="D933916" s="21">
        <f>D933913*D933914</f>
        <v>16250</v>
      </c>
    </row>
    <row r="933917" spans="4:4" x14ac:dyDescent="0.35">
      <c r="D933917" s="22">
        <v>1.3142499999999999</v>
      </c>
    </row>
    <row r="933918" spans="4:4" x14ac:dyDescent="0.35">
      <c r="D933918" s="23">
        <f>ROUNDDOWN(D933909*30/D933895,0)</f>
        <v>270</v>
      </c>
    </row>
    <row r="933919" spans="4:4" x14ac:dyDescent="0.35">
      <c r="D933919" s="23">
        <f>D933918*2</f>
        <v>540</v>
      </c>
    </row>
    <row r="933920" spans="4:4" x14ac:dyDescent="0.35">
      <c r="D933920" s="23" t="s">
        <v>56</v>
      </c>
    </row>
    <row r="933921" spans="4:4" x14ac:dyDescent="0.35">
      <c r="D933921" s="23">
        <v>11</v>
      </c>
    </row>
    <row r="933922" spans="4:4" x14ac:dyDescent="0.35">
      <c r="D933922" s="23">
        <f>D933919*D933921</f>
        <v>5940</v>
      </c>
    </row>
    <row r="933923" spans="4:4" x14ac:dyDescent="0.35">
      <c r="D933923" s="24">
        <f>D933915+D933916</f>
        <v>35250</v>
      </c>
    </row>
    <row r="933924" spans="4:4" x14ac:dyDescent="0.35">
      <c r="D933924" s="25">
        <f xml:space="preserve"> D933898*(D933889+D933900+D933901+D933922)+ (1-D933898)*(D933922+D933889+D933900)</f>
        <v>6340</v>
      </c>
    </row>
    <row r="933925" spans="4:4" x14ac:dyDescent="0.35">
      <c r="D933925" s="26">
        <f>D933923-D933924</f>
        <v>28910</v>
      </c>
    </row>
    <row r="933926" spans="4:4" x14ac:dyDescent="0.35">
      <c r="D933926" s="27">
        <f>D933923/D933924%</f>
        <v>555.99369085173498</v>
      </c>
    </row>
    <row r="933927" spans="4:4" x14ac:dyDescent="0.35">
      <c r="D933927" s="28">
        <v>15</v>
      </c>
    </row>
    <row r="950271" spans="4:4" x14ac:dyDescent="0.35">
      <c r="D950271" s="9">
        <v>1</v>
      </c>
    </row>
    <row r="950272" spans="4:4" ht="15.5" x14ac:dyDescent="0.35">
      <c r="D950272" s="10" t="s">
        <v>52</v>
      </c>
    </row>
    <row r="950273" spans="4:4" x14ac:dyDescent="0.35">
      <c r="D950273" s="49">
        <f>D950274*O950274</f>
        <v>0</v>
      </c>
    </row>
    <row r="950274" spans="4:4" x14ac:dyDescent="0.35">
      <c r="D950274" s="11">
        <v>300</v>
      </c>
    </row>
    <row r="950275" spans="4:4" x14ac:dyDescent="0.35">
      <c r="D950275" s="12">
        <v>299.88</v>
      </c>
    </row>
    <row r="950276" spans="4:4" x14ac:dyDescent="0.35">
      <c r="D950276" s="13" t="s">
        <v>53</v>
      </c>
    </row>
    <row r="950277" spans="4:4" x14ac:dyDescent="0.35">
      <c r="D950277" s="11" t="s">
        <v>108</v>
      </c>
    </row>
    <row r="950278" spans="4:4" x14ac:dyDescent="0.35">
      <c r="D950278" s="13" t="s">
        <v>109</v>
      </c>
    </row>
    <row r="950279" spans="4:4" x14ac:dyDescent="0.35">
      <c r="D950279" s="13">
        <v>1</v>
      </c>
    </row>
    <row r="950280" spans="4:4" x14ac:dyDescent="0.35">
      <c r="D950280" s="13">
        <v>10000</v>
      </c>
    </row>
    <row r="950281" spans="4:4" x14ac:dyDescent="0.35">
      <c r="D950281" s="14">
        <v>0.3</v>
      </c>
    </row>
    <row r="950282" spans="4:4" x14ac:dyDescent="0.35">
      <c r="D950282" s="15">
        <v>0.4</v>
      </c>
    </row>
    <row r="950283" spans="4:4" x14ac:dyDescent="0.35">
      <c r="D950283" s="11">
        <v>4</v>
      </c>
    </row>
    <row r="950284" spans="4:4" x14ac:dyDescent="0.35">
      <c r="D950284" s="11">
        <f>D950283*30</f>
        <v>120</v>
      </c>
    </row>
    <row r="950285" spans="4:4" x14ac:dyDescent="0.35">
      <c r="D950285" s="11">
        <f>D950286*70</f>
        <v>700</v>
      </c>
    </row>
    <row r="950286" spans="4:4" x14ac:dyDescent="0.35">
      <c r="D950286" s="11">
        <v>10</v>
      </c>
    </row>
    <row r="950287" spans="4:4" x14ac:dyDescent="0.35">
      <c r="D950287" s="16" t="s">
        <v>54</v>
      </c>
    </row>
    <row r="950288" spans="4:4" x14ac:dyDescent="0.35">
      <c r="D950288" s="16">
        <v>10</v>
      </c>
    </row>
    <row r="950289" spans="4:4" x14ac:dyDescent="0.35">
      <c r="D950289" s="16" t="s">
        <v>55</v>
      </c>
    </row>
    <row r="950290" spans="4:4" x14ac:dyDescent="0.35">
      <c r="D950290" s="16">
        <v>50</v>
      </c>
    </row>
    <row r="950291" spans="4:4" x14ac:dyDescent="0.35">
      <c r="D950291" s="16">
        <v>7</v>
      </c>
    </row>
    <row r="950292" spans="4:4" x14ac:dyDescent="0.35">
      <c r="D950292" s="17">
        <f>ROUNDDOWN(D950294/D950291,0)</f>
        <v>38</v>
      </c>
    </row>
    <row r="950293" spans="4:4" x14ac:dyDescent="0.35">
      <c r="D950293" s="18">
        <v>9</v>
      </c>
    </row>
    <row r="950294" spans="4:4" x14ac:dyDescent="0.35">
      <c r="D950294" s="18">
        <f>D950293*30</f>
        <v>270</v>
      </c>
    </row>
    <row r="950295" spans="4:4" x14ac:dyDescent="0.35">
      <c r="D950295" s="19">
        <f>38*D950288</f>
        <v>380</v>
      </c>
    </row>
    <row r="950296" spans="4:4" x14ac:dyDescent="0.35">
      <c r="D950296" s="20">
        <v>50</v>
      </c>
    </row>
    <row r="950297" spans="4:4" x14ac:dyDescent="0.35">
      <c r="D950297" s="19">
        <v>50</v>
      </c>
    </row>
    <row r="950298" spans="4:4" x14ac:dyDescent="0.35">
      <c r="D950298" s="19">
        <v>325</v>
      </c>
    </row>
    <row r="950299" spans="4:4" x14ac:dyDescent="0.35">
      <c r="D950299" s="21">
        <f>D950295*D950296</f>
        <v>19000</v>
      </c>
    </row>
    <row r="950300" spans="4:4" x14ac:dyDescent="0.35">
      <c r="D950300" s="21">
        <f>D950297*D950298</f>
        <v>16250</v>
      </c>
    </row>
    <row r="950301" spans="4:4" x14ac:dyDescent="0.35">
      <c r="D950301" s="22">
        <v>1.3142499999999999</v>
      </c>
    </row>
    <row r="950302" spans="4:4" x14ac:dyDescent="0.35">
      <c r="D950302" s="23">
        <f>ROUNDDOWN(D950293*30/D950279,0)</f>
        <v>270</v>
      </c>
    </row>
    <row r="950303" spans="4:4" x14ac:dyDescent="0.35">
      <c r="D950303" s="23">
        <f>D950302*2</f>
        <v>540</v>
      </c>
    </row>
    <row r="950304" spans="4:4" x14ac:dyDescent="0.35">
      <c r="D950304" s="23" t="s">
        <v>56</v>
      </c>
    </row>
    <row r="950305" spans="4:4" x14ac:dyDescent="0.35">
      <c r="D950305" s="23">
        <v>11</v>
      </c>
    </row>
    <row r="950306" spans="4:4" x14ac:dyDescent="0.35">
      <c r="D950306" s="23">
        <f>D950303*D950305</f>
        <v>5940</v>
      </c>
    </row>
    <row r="950307" spans="4:4" x14ac:dyDescent="0.35">
      <c r="D950307" s="24">
        <f>D950299+D950300</f>
        <v>35250</v>
      </c>
    </row>
    <row r="950308" spans="4:4" x14ac:dyDescent="0.35">
      <c r="D950308" s="25">
        <f xml:space="preserve"> D950282*(D950273+D950284+D950285+D950306)+ (1-D950282)*(D950306+D950273+D950284)</f>
        <v>6340</v>
      </c>
    </row>
    <row r="950309" spans="4:4" x14ac:dyDescent="0.35">
      <c r="D950309" s="26">
        <f>D950307-D950308</f>
        <v>28910</v>
      </c>
    </row>
    <row r="950310" spans="4:4" x14ac:dyDescent="0.35">
      <c r="D950310" s="27">
        <f>D950307/D950308%</f>
        <v>555.99369085173498</v>
      </c>
    </row>
    <row r="950311" spans="4:4" x14ac:dyDescent="0.35">
      <c r="D950311" s="28">
        <v>15</v>
      </c>
    </row>
    <row r="966655" spans="4:4" x14ac:dyDescent="0.35">
      <c r="D966655" s="9">
        <v>1</v>
      </c>
    </row>
    <row r="966656" spans="4:4" ht="15.5" x14ac:dyDescent="0.35">
      <c r="D966656" s="10" t="s">
        <v>52</v>
      </c>
    </row>
    <row r="966657" spans="4:4" x14ac:dyDescent="0.35">
      <c r="D966657" s="49">
        <f>D966658*O966658</f>
        <v>0</v>
      </c>
    </row>
    <row r="966658" spans="4:4" x14ac:dyDescent="0.35">
      <c r="D966658" s="11">
        <v>300</v>
      </c>
    </row>
    <row r="966659" spans="4:4" x14ac:dyDescent="0.35">
      <c r="D966659" s="12">
        <v>299.88</v>
      </c>
    </row>
    <row r="966660" spans="4:4" x14ac:dyDescent="0.35">
      <c r="D966660" s="13" t="s">
        <v>53</v>
      </c>
    </row>
    <row r="966661" spans="4:4" x14ac:dyDescent="0.35">
      <c r="D966661" s="11" t="s">
        <v>108</v>
      </c>
    </row>
    <row r="966662" spans="4:4" x14ac:dyDescent="0.35">
      <c r="D966662" s="13" t="s">
        <v>109</v>
      </c>
    </row>
    <row r="966663" spans="4:4" x14ac:dyDescent="0.35">
      <c r="D966663" s="13">
        <v>1</v>
      </c>
    </row>
    <row r="966664" spans="4:4" x14ac:dyDescent="0.35">
      <c r="D966664" s="13">
        <v>10000</v>
      </c>
    </row>
    <row r="966665" spans="4:4" x14ac:dyDescent="0.35">
      <c r="D966665" s="14">
        <v>0.3</v>
      </c>
    </row>
    <row r="966666" spans="4:4" x14ac:dyDescent="0.35">
      <c r="D966666" s="15">
        <v>0.4</v>
      </c>
    </row>
    <row r="966667" spans="4:4" x14ac:dyDescent="0.35">
      <c r="D966667" s="11">
        <v>4</v>
      </c>
    </row>
    <row r="966668" spans="4:4" x14ac:dyDescent="0.35">
      <c r="D966668" s="11">
        <f>D966667*30</f>
        <v>120</v>
      </c>
    </row>
    <row r="966669" spans="4:4" x14ac:dyDescent="0.35">
      <c r="D966669" s="11">
        <f>D966670*70</f>
        <v>700</v>
      </c>
    </row>
    <row r="966670" spans="4:4" x14ac:dyDescent="0.35">
      <c r="D966670" s="11">
        <v>10</v>
      </c>
    </row>
    <row r="966671" spans="4:4" x14ac:dyDescent="0.35">
      <c r="D966671" s="16" t="s">
        <v>54</v>
      </c>
    </row>
    <row r="966672" spans="4:4" x14ac:dyDescent="0.35">
      <c r="D966672" s="16">
        <v>10</v>
      </c>
    </row>
    <row r="966673" spans="4:4" x14ac:dyDescent="0.35">
      <c r="D966673" s="16" t="s">
        <v>55</v>
      </c>
    </row>
    <row r="966674" spans="4:4" x14ac:dyDescent="0.35">
      <c r="D966674" s="16">
        <v>50</v>
      </c>
    </row>
    <row r="966675" spans="4:4" x14ac:dyDescent="0.35">
      <c r="D966675" s="16">
        <v>7</v>
      </c>
    </row>
    <row r="966676" spans="4:4" x14ac:dyDescent="0.35">
      <c r="D966676" s="17">
        <f>ROUNDDOWN(D966678/D966675,0)</f>
        <v>38</v>
      </c>
    </row>
    <row r="966677" spans="4:4" x14ac:dyDescent="0.35">
      <c r="D966677" s="18">
        <v>9</v>
      </c>
    </row>
    <row r="966678" spans="4:4" x14ac:dyDescent="0.35">
      <c r="D966678" s="18">
        <f>D966677*30</f>
        <v>270</v>
      </c>
    </row>
    <row r="966679" spans="4:4" x14ac:dyDescent="0.35">
      <c r="D966679" s="19">
        <f>38*D966672</f>
        <v>380</v>
      </c>
    </row>
    <row r="966680" spans="4:4" x14ac:dyDescent="0.35">
      <c r="D966680" s="20">
        <v>50</v>
      </c>
    </row>
    <row r="966681" spans="4:4" x14ac:dyDescent="0.35">
      <c r="D966681" s="19">
        <v>50</v>
      </c>
    </row>
    <row r="966682" spans="4:4" x14ac:dyDescent="0.35">
      <c r="D966682" s="19">
        <v>325</v>
      </c>
    </row>
    <row r="966683" spans="4:4" x14ac:dyDescent="0.35">
      <c r="D966683" s="21">
        <f>D966679*D966680</f>
        <v>19000</v>
      </c>
    </row>
    <row r="966684" spans="4:4" x14ac:dyDescent="0.35">
      <c r="D966684" s="21">
        <f>D966681*D966682</f>
        <v>16250</v>
      </c>
    </row>
    <row r="966685" spans="4:4" x14ac:dyDescent="0.35">
      <c r="D966685" s="22">
        <v>1.3142499999999999</v>
      </c>
    </row>
    <row r="966686" spans="4:4" x14ac:dyDescent="0.35">
      <c r="D966686" s="23">
        <f>ROUNDDOWN(D966677*30/D966663,0)</f>
        <v>270</v>
      </c>
    </row>
    <row r="966687" spans="4:4" x14ac:dyDescent="0.35">
      <c r="D966687" s="23">
        <f>D966686*2</f>
        <v>540</v>
      </c>
    </row>
    <row r="966688" spans="4:4" x14ac:dyDescent="0.35">
      <c r="D966688" s="23" t="s">
        <v>56</v>
      </c>
    </row>
    <row r="966689" spans="4:4" x14ac:dyDescent="0.35">
      <c r="D966689" s="23">
        <v>11</v>
      </c>
    </row>
    <row r="966690" spans="4:4" x14ac:dyDescent="0.35">
      <c r="D966690" s="23">
        <f>D966687*D966689</f>
        <v>5940</v>
      </c>
    </row>
    <row r="966691" spans="4:4" x14ac:dyDescent="0.35">
      <c r="D966691" s="24">
        <f>D966683+D966684</f>
        <v>35250</v>
      </c>
    </row>
    <row r="966692" spans="4:4" x14ac:dyDescent="0.35">
      <c r="D966692" s="25">
        <f xml:space="preserve"> D966666*(D966657+D966668+D966669+D966690)+ (1-D966666)*(D966690+D966657+D966668)</f>
        <v>6340</v>
      </c>
    </row>
    <row r="966693" spans="4:4" x14ac:dyDescent="0.35">
      <c r="D966693" s="26">
        <f>D966691-D966692</f>
        <v>28910</v>
      </c>
    </row>
    <row r="966694" spans="4:4" x14ac:dyDescent="0.35">
      <c r="D966694" s="27">
        <f>D966691/D966692%</f>
        <v>555.99369085173498</v>
      </c>
    </row>
    <row r="966695" spans="4:4" x14ac:dyDescent="0.35">
      <c r="D966695" s="28">
        <v>15</v>
      </c>
    </row>
    <row r="983039" spans="4:4" x14ac:dyDescent="0.35">
      <c r="D983039" s="9">
        <v>1</v>
      </c>
    </row>
    <row r="983040" spans="4:4" ht="15.5" x14ac:dyDescent="0.35">
      <c r="D983040" s="10" t="s">
        <v>52</v>
      </c>
    </row>
    <row r="983041" spans="4:4" x14ac:dyDescent="0.35">
      <c r="D983041" s="49">
        <f>D983042*O983042</f>
        <v>0</v>
      </c>
    </row>
    <row r="983042" spans="4:4" x14ac:dyDescent="0.35">
      <c r="D983042" s="11">
        <v>300</v>
      </c>
    </row>
    <row r="983043" spans="4:4" x14ac:dyDescent="0.35">
      <c r="D983043" s="12">
        <v>299.88</v>
      </c>
    </row>
    <row r="983044" spans="4:4" x14ac:dyDescent="0.35">
      <c r="D983044" s="13" t="s">
        <v>53</v>
      </c>
    </row>
    <row r="983045" spans="4:4" x14ac:dyDescent="0.35">
      <c r="D983045" s="11" t="s">
        <v>108</v>
      </c>
    </row>
    <row r="983046" spans="4:4" x14ac:dyDescent="0.35">
      <c r="D983046" s="13" t="s">
        <v>109</v>
      </c>
    </row>
    <row r="983047" spans="4:4" x14ac:dyDescent="0.35">
      <c r="D983047" s="13">
        <v>1</v>
      </c>
    </row>
    <row r="983048" spans="4:4" x14ac:dyDescent="0.35">
      <c r="D983048" s="13">
        <v>10000</v>
      </c>
    </row>
    <row r="983049" spans="4:4" x14ac:dyDescent="0.35">
      <c r="D983049" s="14">
        <v>0.3</v>
      </c>
    </row>
    <row r="983050" spans="4:4" x14ac:dyDescent="0.35">
      <c r="D983050" s="15">
        <v>0.4</v>
      </c>
    </row>
    <row r="983051" spans="4:4" x14ac:dyDescent="0.35">
      <c r="D983051" s="11">
        <v>4</v>
      </c>
    </row>
    <row r="983052" spans="4:4" x14ac:dyDescent="0.35">
      <c r="D983052" s="11">
        <f>D983051*30</f>
        <v>120</v>
      </c>
    </row>
    <row r="983053" spans="4:4" x14ac:dyDescent="0.35">
      <c r="D983053" s="11">
        <f>D983054*70</f>
        <v>700</v>
      </c>
    </row>
    <row r="983054" spans="4:4" x14ac:dyDescent="0.35">
      <c r="D983054" s="11">
        <v>10</v>
      </c>
    </row>
    <row r="983055" spans="4:4" x14ac:dyDescent="0.35">
      <c r="D983055" s="16" t="s">
        <v>54</v>
      </c>
    </row>
    <row r="983056" spans="4:4" x14ac:dyDescent="0.35">
      <c r="D983056" s="16">
        <v>10</v>
      </c>
    </row>
    <row r="983057" spans="4:4" x14ac:dyDescent="0.35">
      <c r="D983057" s="16" t="s">
        <v>55</v>
      </c>
    </row>
    <row r="983058" spans="4:4" x14ac:dyDescent="0.35">
      <c r="D983058" s="16">
        <v>50</v>
      </c>
    </row>
    <row r="983059" spans="4:4" x14ac:dyDescent="0.35">
      <c r="D983059" s="16">
        <v>7</v>
      </c>
    </row>
    <row r="983060" spans="4:4" x14ac:dyDescent="0.35">
      <c r="D983060" s="17">
        <f>ROUNDDOWN(D983062/D983059,0)</f>
        <v>38</v>
      </c>
    </row>
    <row r="983061" spans="4:4" x14ac:dyDescent="0.35">
      <c r="D983061" s="18">
        <v>9</v>
      </c>
    </row>
    <row r="983062" spans="4:4" x14ac:dyDescent="0.35">
      <c r="D983062" s="18">
        <f>D983061*30</f>
        <v>270</v>
      </c>
    </row>
    <row r="983063" spans="4:4" x14ac:dyDescent="0.35">
      <c r="D983063" s="19">
        <f>38*D983056</f>
        <v>380</v>
      </c>
    </row>
    <row r="983064" spans="4:4" x14ac:dyDescent="0.35">
      <c r="D983064" s="20">
        <v>50</v>
      </c>
    </row>
    <row r="983065" spans="4:4" x14ac:dyDescent="0.35">
      <c r="D983065" s="19">
        <v>50</v>
      </c>
    </row>
    <row r="983066" spans="4:4" x14ac:dyDescent="0.35">
      <c r="D983066" s="19">
        <v>325</v>
      </c>
    </row>
    <row r="983067" spans="4:4" x14ac:dyDescent="0.35">
      <c r="D983067" s="21">
        <f>D983063*D983064</f>
        <v>19000</v>
      </c>
    </row>
    <row r="983068" spans="4:4" x14ac:dyDescent="0.35">
      <c r="D983068" s="21">
        <f>D983065*D983066</f>
        <v>16250</v>
      </c>
    </row>
    <row r="983069" spans="4:4" x14ac:dyDescent="0.35">
      <c r="D983069" s="22">
        <v>1.3142499999999999</v>
      </c>
    </row>
    <row r="983070" spans="4:4" x14ac:dyDescent="0.35">
      <c r="D983070" s="23">
        <f>ROUNDDOWN(D983061*30/D983047,0)</f>
        <v>270</v>
      </c>
    </row>
    <row r="983071" spans="4:4" x14ac:dyDescent="0.35">
      <c r="D983071" s="23">
        <f>D983070*2</f>
        <v>540</v>
      </c>
    </row>
    <row r="983072" spans="4:4" x14ac:dyDescent="0.35">
      <c r="D983072" s="23" t="s">
        <v>56</v>
      </c>
    </row>
    <row r="983073" spans="4:4" x14ac:dyDescent="0.35">
      <c r="D983073" s="23">
        <v>11</v>
      </c>
    </row>
    <row r="983074" spans="4:4" x14ac:dyDescent="0.35">
      <c r="D983074" s="23">
        <f>D983071*D983073</f>
        <v>5940</v>
      </c>
    </row>
    <row r="983075" spans="4:4" x14ac:dyDescent="0.35">
      <c r="D983075" s="24">
        <f>D983067+D983068</f>
        <v>35250</v>
      </c>
    </row>
    <row r="983076" spans="4:4" x14ac:dyDescent="0.35">
      <c r="D983076" s="25">
        <f xml:space="preserve"> D983050*(D983041+D983052+D983053+D983074)+ (1-D983050)*(D983074+D983041+D983052)</f>
        <v>6340</v>
      </c>
    </row>
    <row r="983077" spans="4:4" x14ac:dyDescent="0.35">
      <c r="D983077" s="26">
        <f>D983075-D983076</f>
        <v>28910</v>
      </c>
    </row>
    <row r="983078" spans="4:4" x14ac:dyDescent="0.35">
      <c r="D983078" s="27">
        <f>D983075/D983076%</f>
        <v>555.99369085173498</v>
      </c>
    </row>
    <row r="983079" spans="4:4" x14ac:dyDescent="0.35">
      <c r="D983079" s="28">
        <v>15</v>
      </c>
    </row>
    <row r="999423" spans="4:4" x14ac:dyDescent="0.35">
      <c r="D999423" s="9">
        <v>1</v>
      </c>
    </row>
    <row r="999424" spans="4:4" ht="15.5" x14ac:dyDescent="0.35">
      <c r="D999424" s="10" t="s">
        <v>52</v>
      </c>
    </row>
    <row r="999425" spans="4:4" x14ac:dyDescent="0.35">
      <c r="D999425" s="49">
        <f>D999426*O999426</f>
        <v>0</v>
      </c>
    </row>
    <row r="999426" spans="4:4" x14ac:dyDescent="0.35">
      <c r="D999426" s="11">
        <v>300</v>
      </c>
    </row>
    <row r="999427" spans="4:4" x14ac:dyDescent="0.35">
      <c r="D999427" s="12">
        <v>299.88</v>
      </c>
    </row>
    <row r="999428" spans="4:4" x14ac:dyDescent="0.35">
      <c r="D999428" s="13" t="s">
        <v>53</v>
      </c>
    </row>
    <row r="999429" spans="4:4" x14ac:dyDescent="0.35">
      <c r="D999429" s="11" t="s">
        <v>108</v>
      </c>
    </row>
    <row r="999430" spans="4:4" x14ac:dyDescent="0.35">
      <c r="D999430" s="13" t="s">
        <v>109</v>
      </c>
    </row>
    <row r="999431" spans="4:4" x14ac:dyDescent="0.35">
      <c r="D999431" s="13">
        <v>1</v>
      </c>
    </row>
    <row r="999432" spans="4:4" x14ac:dyDescent="0.35">
      <c r="D999432" s="13">
        <v>10000</v>
      </c>
    </row>
    <row r="999433" spans="4:4" x14ac:dyDescent="0.35">
      <c r="D999433" s="14">
        <v>0.3</v>
      </c>
    </row>
    <row r="999434" spans="4:4" x14ac:dyDescent="0.35">
      <c r="D999434" s="15">
        <v>0.4</v>
      </c>
    </row>
    <row r="999435" spans="4:4" x14ac:dyDescent="0.35">
      <c r="D999435" s="11">
        <v>4</v>
      </c>
    </row>
    <row r="999436" spans="4:4" x14ac:dyDescent="0.35">
      <c r="D999436" s="11">
        <f>D999435*30</f>
        <v>120</v>
      </c>
    </row>
    <row r="999437" spans="4:4" x14ac:dyDescent="0.35">
      <c r="D999437" s="11">
        <f>D999438*70</f>
        <v>700</v>
      </c>
    </row>
    <row r="999438" spans="4:4" x14ac:dyDescent="0.35">
      <c r="D999438" s="11">
        <v>10</v>
      </c>
    </row>
    <row r="999439" spans="4:4" x14ac:dyDescent="0.35">
      <c r="D999439" s="16" t="s">
        <v>54</v>
      </c>
    </row>
    <row r="999440" spans="4:4" x14ac:dyDescent="0.35">
      <c r="D999440" s="16">
        <v>10</v>
      </c>
    </row>
    <row r="999441" spans="4:4" x14ac:dyDescent="0.35">
      <c r="D999441" s="16" t="s">
        <v>55</v>
      </c>
    </row>
    <row r="999442" spans="4:4" x14ac:dyDescent="0.35">
      <c r="D999442" s="16">
        <v>50</v>
      </c>
    </row>
    <row r="999443" spans="4:4" x14ac:dyDescent="0.35">
      <c r="D999443" s="16">
        <v>7</v>
      </c>
    </row>
    <row r="999444" spans="4:4" x14ac:dyDescent="0.35">
      <c r="D999444" s="17">
        <f>ROUNDDOWN(D999446/D999443,0)</f>
        <v>38</v>
      </c>
    </row>
    <row r="999445" spans="4:4" x14ac:dyDescent="0.35">
      <c r="D999445" s="18">
        <v>9</v>
      </c>
    </row>
    <row r="999446" spans="4:4" x14ac:dyDescent="0.35">
      <c r="D999446" s="18">
        <f>D999445*30</f>
        <v>270</v>
      </c>
    </row>
    <row r="999447" spans="4:4" x14ac:dyDescent="0.35">
      <c r="D999447" s="19">
        <f>38*D999440</f>
        <v>380</v>
      </c>
    </row>
    <row r="999448" spans="4:4" x14ac:dyDescent="0.35">
      <c r="D999448" s="20">
        <v>50</v>
      </c>
    </row>
    <row r="999449" spans="4:4" x14ac:dyDescent="0.35">
      <c r="D999449" s="19">
        <v>50</v>
      </c>
    </row>
    <row r="999450" spans="4:4" x14ac:dyDescent="0.35">
      <c r="D999450" s="19">
        <v>325</v>
      </c>
    </row>
    <row r="999451" spans="4:4" x14ac:dyDescent="0.35">
      <c r="D999451" s="21">
        <f>D999447*D999448</f>
        <v>19000</v>
      </c>
    </row>
    <row r="999452" spans="4:4" x14ac:dyDescent="0.35">
      <c r="D999452" s="21">
        <f>D999449*D999450</f>
        <v>16250</v>
      </c>
    </row>
    <row r="999453" spans="4:4" x14ac:dyDescent="0.35">
      <c r="D999453" s="22">
        <v>1.3142499999999999</v>
      </c>
    </row>
    <row r="999454" spans="4:4" x14ac:dyDescent="0.35">
      <c r="D999454" s="23">
        <f>ROUNDDOWN(D999445*30/D999431,0)</f>
        <v>270</v>
      </c>
    </row>
    <row r="999455" spans="4:4" x14ac:dyDescent="0.35">
      <c r="D999455" s="23">
        <f>D999454*2</f>
        <v>540</v>
      </c>
    </row>
    <row r="999456" spans="4:4" x14ac:dyDescent="0.35">
      <c r="D999456" s="23" t="s">
        <v>56</v>
      </c>
    </row>
    <row r="999457" spans="4:4" x14ac:dyDescent="0.35">
      <c r="D999457" s="23">
        <v>11</v>
      </c>
    </row>
    <row r="999458" spans="4:4" x14ac:dyDescent="0.35">
      <c r="D999458" s="23">
        <f>D999455*D999457</f>
        <v>5940</v>
      </c>
    </row>
    <row r="999459" spans="4:4" x14ac:dyDescent="0.35">
      <c r="D999459" s="24">
        <f>D999451+D999452</f>
        <v>35250</v>
      </c>
    </row>
    <row r="999460" spans="4:4" x14ac:dyDescent="0.35">
      <c r="D999460" s="25">
        <f xml:space="preserve"> D999434*(D999425+D999436+D999437+D999458)+ (1-D999434)*(D999458+D999425+D999436)</f>
        <v>6340</v>
      </c>
    </row>
    <row r="999461" spans="4:4" x14ac:dyDescent="0.35">
      <c r="D999461" s="26">
        <f>D999459-D999460</f>
        <v>28910</v>
      </c>
    </row>
    <row r="999462" spans="4:4" x14ac:dyDescent="0.35">
      <c r="D999462" s="27">
        <f>D999459/D999460%</f>
        <v>555.99369085173498</v>
      </c>
    </row>
    <row r="999463" spans="4:4" x14ac:dyDescent="0.35">
      <c r="D999463" s="28">
        <v>15</v>
      </c>
    </row>
    <row r="1015807" spans="4:4" x14ac:dyDescent="0.35">
      <c r="D1015807" s="9">
        <v>1</v>
      </c>
    </row>
    <row r="1015808" spans="4:4" ht="15.5" x14ac:dyDescent="0.35">
      <c r="D1015808" s="10" t="s">
        <v>52</v>
      </c>
    </row>
    <row r="1015809" spans="4:4" x14ac:dyDescent="0.35">
      <c r="D1015809" s="49">
        <f>D1015810*O1015810</f>
        <v>0</v>
      </c>
    </row>
    <row r="1015810" spans="4:4" x14ac:dyDescent="0.35">
      <c r="D1015810" s="11">
        <v>300</v>
      </c>
    </row>
    <row r="1015811" spans="4:4" x14ac:dyDescent="0.35">
      <c r="D1015811" s="12">
        <v>299.88</v>
      </c>
    </row>
    <row r="1015812" spans="4:4" x14ac:dyDescent="0.35">
      <c r="D1015812" s="13" t="s">
        <v>53</v>
      </c>
    </row>
    <row r="1015813" spans="4:4" x14ac:dyDescent="0.35">
      <c r="D1015813" s="11" t="s">
        <v>108</v>
      </c>
    </row>
    <row r="1015814" spans="4:4" x14ac:dyDescent="0.35">
      <c r="D1015814" s="13" t="s">
        <v>109</v>
      </c>
    </row>
    <row r="1015815" spans="4:4" x14ac:dyDescent="0.35">
      <c r="D1015815" s="13">
        <v>1</v>
      </c>
    </row>
    <row r="1015816" spans="4:4" x14ac:dyDescent="0.35">
      <c r="D1015816" s="13">
        <v>10000</v>
      </c>
    </row>
    <row r="1015817" spans="4:4" x14ac:dyDescent="0.35">
      <c r="D1015817" s="14">
        <v>0.3</v>
      </c>
    </row>
    <row r="1015818" spans="4:4" x14ac:dyDescent="0.35">
      <c r="D1015818" s="15">
        <v>0.4</v>
      </c>
    </row>
    <row r="1015819" spans="4:4" x14ac:dyDescent="0.35">
      <c r="D1015819" s="11">
        <v>4</v>
      </c>
    </row>
    <row r="1015820" spans="4:4" x14ac:dyDescent="0.35">
      <c r="D1015820" s="11">
        <f>D1015819*30</f>
        <v>120</v>
      </c>
    </row>
    <row r="1015821" spans="4:4" x14ac:dyDescent="0.35">
      <c r="D1015821" s="11">
        <f>D1015822*70</f>
        <v>700</v>
      </c>
    </row>
    <row r="1015822" spans="4:4" x14ac:dyDescent="0.35">
      <c r="D1015822" s="11">
        <v>10</v>
      </c>
    </row>
    <row r="1015823" spans="4:4" x14ac:dyDescent="0.35">
      <c r="D1015823" s="16" t="s">
        <v>54</v>
      </c>
    </row>
    <row r="1015824" spans="4:4" x14ac:dyDescent="0.35">
      <c r="D1015824" s="16">
        <v>10</v>
      </c>
    </row>
    <row r="1015825" spans="4:4" x14ac:dyDescent="0.35">
      <c r="D1015825" s="16" t="s">
        <v>55</v>
      </c>
    </row>
    <row r="1015826" spans="4:4" x14ac:dyDescent="0.35">
      <c r="D1015826" s="16">
        <v>50</v>
      </c>
    </row>
    <row r="1015827" spans="4:4" x14ac:dyDescent="0.35">
      <c r="D1015827" s="16">
        <v>7</v>
      </c>
    </row>
    <row r="1015828" spans="4:4" x14ac:dyDescent="0.35">
      <c r="D1015828" s="17">
        <f>ROUNDDOWN(D1015830/D1015827,0)</f>
        <v>38</v>
      </c>
    </row>
    <row r="1015829" spans="4:4" x14ac:dyDescent="0.35">
      <c r="D1015829" s="18">
        <v>9</v>
      </c>
    </row>
    <row r="1015830" spans="4:4" x14ac:dyDescent="0.35">
      <c r="D1015830" s="18">
        <f>D1015829*30</f>
        <v>270</v>
      </c>
    </row>
    <row r="1015831" spans="4:4" x14ac:dyDescent="0.35">
      <c r="D1015831" s="19">
        <f>38*D1015824</f>
        <v>380</v>
      </c>
    </row>
    <row r="1015832" spans="4:4" x14ac:dyDescent="0.35">
      <c r="D1015832" s="20">
        <v>50</v>
      </c>
    </row>
    <row r="1015833" spans="4:4" x14ac:dyDescent="0.35">
      <c r="D1015833" s="19">
        <v>50</v>
      </c>
    </row>
    <row r="1015834" spans="4:4" x14ac:dyDescent="0.35">
      <c r="D1015834" s="19">
        <v>325</v>
      </c>
    </row>
    <row r="1015835" spans="4:4" x14ac:dyDescent="0.35">
      <c r="D1015835" s="21">
        <f>D1015831*D1015832</f>
        <v>19000</v>
      </c>
    </row>
    <row r="1015836" spans="4:4" x14ac:dyDescent="0.35">
      <c r="D1015836" s="21">
        <f>D1015833*D1015834</f>
        <v>16250</v>
      </c>
    </row>
    <row r="1015837" spans="4:4" x14ac:dyDescent="0.35">
      <c r="D1015837" s="22">
        <v>1.3142499999999999</v>
      </c>
    </row>
    <row r="1015838" spans="4:4" x14ac:dyDescent="0.35">
      <c r="D1015838" s="23">
        <f>ROUNDDOWN(D1015829*30/D1015815,0)</f>
        <v>270</v>
      </c>
    </row>
    <row r="1015839" spans="4:4" x14ac:dyDescent="0.35">
      <c r="D1015839" s="23">
        <f>D1015838*2</f>
        <v>540</v>
      </c>
    </row>
    <row r="1015840" spans="4:4" x14ac:dyDescent="0.35">
      <c r="D1015840" s="23" t="s">
        <v>56</v>
      </c>
    </row>
    <row r="1015841" spans="4:4" x14ac:dyDescent="0.35">
      <c r="D1015841" s="23">
        <v>11</v>
      </c>
    </row>
    <row r="1015842" spans="4:4" x14ac:dyDescent="0.35">
      <c r="D1015842" s="23">
        <f>D1015839*D1015841</f>
        <v>5940</v>
      </c>
    </row>
    <row r="1015843" spans="4:4" x14ac:dyDescent="0.35">
      <c r="D1015843" s="24">
        <f>D1015835+D1015836</f>
        <v>35250</v>
      </c>
    </row>
    <row r="1015844" spans="4:4" x14ac:dyDescent="0.35">
      <c r="D1015844" s="25">
        <f xml:space="preserve"> D1015818*(D1015809+D1015820+D1015821+D1015842)+ (1-D1015818)*(D1015842+D1015809+D1015820)</f>
        <v>6340</v>
      </c>
    </row>
    <row r="1015845" spans="4:4" x14ac:dyDescent="0.35">
      <c r="D1015845" s="26">
        <f>D1015843-D1015844</f>
        <v>28910</v>
      </c>
    </row>
    <row r="1015846" spans="4:4" x14ac:dyDescent="0.35">
      <c r="D1015846" s="27">
        <f>D1015843/D1015844%</f>
        <v>555.99369085173498</v>
      </c>
    </row>
    <row r="1015847" spans="4:4" x14ac:dyDescent="0.35">
      <c r="D1015847" s="28">
        <v>15</v>
      </c>
    </row>
    <row r="1032191" spans="4:4" x14ac:dyDescent="0.35">
      <c r="D1032191" s="9">
        <v>1</v>
      </c>
    </row>
    <row r="1032192" spans="4:4" ht="15.5" x14ac:dyDescent="0.35">
      <c r="D1032192" s="10" t="s">
        <v>52</v>
      </c>
    </row>
    <row r="1032193" spans="4:4" x14ac:dyDescent="0.35">
      <c r="D1032193" s="49">
        <f>D1032194*O1032194</f>
        <v>0</v>
      </c>
    </row>
    <row r="1032194" spans="4:4" x14ac:dyDescent="0.35">
      <c r="D1032194" s="11">
        <v>300</v>
      </c>
    </row>
    <row r="1032195" spans="4:4" x14ac:dyDescent="0.35">
      <c r="D1032195" s="12">
        <v>299.88</v>
      </c>
    </row>
    <row r="1032196" spans="4:4" x14ac:dyDescent="0.35">
      <c r="D1032196" s="13" t="s">
        <v>53</v>
      </c>
    </row>
    <row r="1032197" spans="4:4" x14ac:dyDescent="0.35">
      <c r="D1032197" s="11" t="s">
        <v>108</v>
      </c>
    </row>
    <row r="1032198" spans="4:4" x14ac:dyDescent="0.35">
      <c r="D1032198" s="13" t="s">
        <v>109</v>
      </c>
    </row>
    <row r="1032199" spans="4:4" x14ac:dyDescent="0.35">
      <c r="D1032199" s="13">
        <v>1</v>
      </c>
    </row>
    <row r="1032200" spans="4:4" x14ac:dyDescent="0.35">
      <c r="D1032200" s="13">
        <v>10000</v>
      </c>
    </row>
    <row r="1032201" spans="4:4" x14ac:dyDescent="0.35">
      <c r="D1032201" s="14">
        <v>0.3</v>
      </c>
    </row>
    <row r="1032202" spans="4:4" x14ac:dyDescent="0.35">
      <c r="D1032202" s="15">
        <v>0.4</v>
      </c>
    </row>
    <row r="1032203" spans="4:4" x14ac:dyDescent="0.35">
      <c r="D1032203" s="11">
        <v>4</v>
      </c>
    </row>
    <row r="1032204" spans="4:4" x14ac:dyDescent="0.35">
      <c r="D1032204" s="11">
        <f>D1032203*30</f>
        <v>120</v>
      </c>
    </row>
    <row r="1032205" spans="4:4" x14ac:dyDescent="0.35">
      <c r="D1032205" s="11">
        <f>D1032206*70</f>
        <v>700</v>
      </c>
    </row>
    <row r="1032206" spans="4:4" x14ac:dyDescent="0.35">
      <c r="D1032206" s="11">
        <v>10</v>
      </c>
    </row>
    <row r="1032207" spans="4:4" x14ac:dyDescent="0.35">
      <c r="D1032207" s="16" t="s">
        <v>54</v>
      </c>
    </row>
    <row r="1032208" spans="4:4" x14ac:dyDescent="0.35">
      <c r="D1032208" s="16">
        <v>10</v>
      </c>
    </row>
    <row r="1032209" spans="4:4" x14ac:dyDescent="0.35">
      <c r="D1032209" s="16" t="s">
        <v>55</v>
      </c>
    </row>
    <row r="1032210" spans="4:4" x14ac:dyDescent="0.35">
      <c r="D1032210" s="16">
        <v>50</v>
      </c>
    </row>
    <row r="1032211" spans="4:4" x14ac:dyDescent="0.35">
      <c r="D1032211" s="16">
        <v>7</v>
      </c>
    </row>
    <row r="1032212" spans="4:4" x14ac:dyDescent="0.35">
      <c r="D1032212" s="17">
        <f>ROUNDDOWN(D1032214/D1032211,0)</f>
        <v>38</v>
      </c>
    </row>
    <row r="1032213" spans="4:4" x14ac:dyDescent="0.35">
      <c r="D1032213" s="18">
        <v>9</v>
      </c>
    </row>
    <row r="1032214" spans="4:4" x14ac:dyDescent="0.35">
      <c r="D1032214" s="18">
        <f>D1032213*30</f>
        <v>270</v>
      </c>
    </row>
    <row r="1032215" spans="4:4" x14ac:dyDescent="0.35">
      <c r="D1032215" s="19">
        <f>38*D1032208</f>
        <v>380</v>
      </c>
    </row>
    <row r="1032216" spans="4:4" x14ac:dyDescent="0.35">
      <c r="D1032216" s="20">
        <v>50</v>
      </c>
    </row>
    <row r="1032217" spans="4:4" x14ac:dyDescent="0.35">
      <c r="D1032217" s="19">
        <v>50</v>
      </c>
    </row>
    <row r="1032218" spans="4:4" x14ac:dyDescent="0.35">
      <c r="D1032218" s="19">
        <v>325</v>
      </c>
    </row>
    <row r="1032219" spans="4:4" x14ac:dyDescent="0.35">
      <c r="D1032219" s="21">
        <f>D1032215*D1032216</f>
        <v>19000</v>
      </c>
    </row>
    <row r="1032220" spans="4:4" x14ac:dyDescent="0.35">
      <c r="D1032220" s="21">
        <f>D1032217*D1032218</f>
        <v>16250</v>
      </c>
    </row>
    <row r="1032221" spans="4:4" x14ac:dyDescent="0.35">
      <c r="D1032221" s="22">
        <v>1.3142499999999999</v>
      </c>
    </row>
    <row r="1032222" spans="4:4" x14ac:dyDescent="0.35">
      <c r="D1032222" s="23">
        <f>ROUNDDOWN(D1032213*30/D1032199,0)</f>
        <v>270</v>
      </c>
    </row>
    <row r="1032223" spans="4:4" x14ac:dyDescent="0.35">
      <c r="D1032223" s="23">
        <f>D1032222*2</f>
        <v>540</v>
      </c>
    </row>
    <row r="1032224" spans="4:4" x14ac:dyDescent="0.35">
      <c r="D1032224" s="23" t="s">
        <v>56</v>
      </c>
    </row>
    <row r="1032225" spans="4:4" x14ac:dyDescent="0.35">
      <c r="D1032225" s="23">
        <v>11</v>
      </c>
    </row>
    <row r="1032226" spans="4:4" x14ac:dyDescent="0.35">
      <c r="D1032226" s="23">
        <f>D1032223*D1032225</f>
        <v>5940</v>
      </c>
    </row>
    <row r="1032227" spans="4:4" x14ac:dyDescent="0.35">
      <c r="D1032227" s="24">
        <f>D1032219+D1032220</f>
        <v>35250</v>
      </c>
    </row>
    <row r="1032228" spans="4:4" x14ac:dyDescent="0.35">
      <c r="D1032228" s="25">
        <f xml:space="preserve"> D1032202*(D1032193+D1032204+D1032205+D1032226)+ (1-D1032202)*(D1032226+D1032193+D1032204)</f>
        <v>6340</v>
      </c>
    </row>
    <row r="1032229" spans="4:4" x14ac:dyDescent="0.35">
      <c r="D1032229" s="26">
        <f>D1032227-D1032228</f>
        <v>28910</v>
      </c>
    </row>
    <row r="1032230" spans="4:4" x14ac:dyDescent="0.35">
      <c r="D1032230" s="27">
        <f>D1032227/D1032228%</f>
        <v>555.99369085173498</v>
      </c>
    </row>
    <row r="1032231" spans="4:4" x14ac:dyDescent="0.35">
      <c r="D1032231" s="28">
        <v>15</v>
      </c>
    </row>
  </sheetData>
  <mergeCells count="40">
    <mergeCell ref="A1:F1"/>
    <mergeCell ref="B2:C2"/>
    <mergeCell ref="B3:C3"/>
    <mergeCell ref="B4:C4"/>
    <mergeCell ref="B5:C5"/>
    <mergeCell ref="B6:C6"/>
    <mergeCell ref="B7:C7"/>
    <mergeCell ref="B8:C8"/>
    <mergeCell ref="B9:C9"/>
    <mergeCell ref="B30:C30"/>
    <mergeCell ref="B14:C14"/>
    <mergeCell ref="B15:C15"/>
    <mergeCell ref="A16:A22"/>
    <mergeCell ref="B16:C16"/>
    <mergeCell ref="B17:C17"/>
    <mergeCell ref="B18:C18"/>
    <mergeCell ref="B19:C19"/>
    <mergeCell ref="B20:C20"/>
    <mergeCell ref="B21:C21"/>
    <mergeCell ref="B22:C22"/>
    <mergeCell ref="A10:A15"/>
    <mergeCell ref="B10:C10"/>
    <mergeCell ref="B11:C11"/>
    <mergeCell ref="B12:C12"/>
    <mergeCell ref="B13:C13"/>
    <mergeCell ref="B23:C23"/>
    <mergeCell ref="A24:A29"/>
    <mergeCell ref="B25:C25"/>
    <mergeCell ref="B26:C26"/>
    <mergeCell ref="B27:C27"/>
    <mergeCell ref="A37:C37"/>
    <mergeCell ref="A38:C38"/>
    <mergeCell ref="A39:C39"/>
    <mergeCell ref="A40:C40"/>
    <mergeCell ref="B31:C31"/>
    <mergeCell ref="B32:C32"/>
    <mergeCell ref="B33:C33"/>
    <mergeCell ref="B34:C34"/>
    <mergeCell ref="B35:C35"/>
    <mergeCell ref="A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Vật nuôi</vt:lpstr>
      <vt:lpstr>Thuyết minh cách tính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2026-05-28T13:18:36Z</dcterms:created>
  <dcterms:modified xsi:type="dcterms:W3CDTF">2026-06-22T12:39:37Z</dcterms:modified>
</cp:coreProperties>
</file>