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uyen Phuong Anh\Downloads\Game 3D\"/>
    </mc:Choice>
  </mc:AlternateContent>
  <xr:revisionPtr revIDLastSave="0" documentId="13_ncr:1_{8ECCB7AB-AAF5-43F2-B7AC-D9C054015DA3}" xr6:coauthVersionLast="47" xr6:coauthVersionMax="47" xr10:uidLastSave="{00000000-0000-0000-0000-000000000000}"/>
  <bookViews>
    <workbookView xWindow="-110" yWindow="-110" windowWidth="19420" windowHeight="11500" xr2:uid="{41CAA0F3-8072-4DD5-B6FD-6C2186408B4C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" i="1" l="1"/>
  <c r="C8" i="1"/>
  <c r="C7" i="1"/>
  <c r="C6" i="1"/>
  <c r="AJ9" i="1"/>
  <c r="AF9" i="1"/>
  <c r="AA9" i="1"/>
  <c r="AD9" i="1" s="1"/>
  <c r="V9" i="1"/>
  <c r="Y9" i="1" s="1"/>
  <c r="AC9" i="1" s="1"/>
  <c r="AK9" i="1" s="1"/>
  <c r="O9" i="1"/>
  <c r="N9" i="1"/>
  <c r="AL9" i="1"/>
  <c r="AF8" i="1"/>
  <c r="AG8" i="1" s="1"/>
  <c r="AJ8" i="1" s="1"/>
  <c r="AA8" i="1"/>
  <c r="AD8" i="1" s="1"/>
  <c r="X8" i="1"/>
  <c r="V8" i="1"/>
  <c r="Y8" i="1" s="1"/>
  <c r="AC8" i="1" s="1"/>
  <c r="AK8" i="1" s="1"/>
  <c r="O8" i="1"/>
  <c r="N8" i="1"/>
  <c r="AL8" i="1"/>
  <c r="AF7" i="1"/>
  <c r="AG7" i="1" s="1"/>
  <c r="AJ7" i="1" s="1"/>
  <c r="AA7" i="1"/>
  <c r="AD7" i="1" s="1"/>
  <c r="X7" i="1"/>
  <c r="V7" i="1"/>
  <c r="Y7" i="1" s="1"/>
  <c r="AC7" i="1" s="1"/>
  <c r="O7" i="1"/>
  <c r="N7" i="1"/>
  <c r="AF6" i="1"/>
  <c r="AG6" i="1" s="1"/>
  <c r="AJ6" i="1" s="1"/>
  <c r="AA6" i="1"/>
  <c r="AD6" i="1" s="1"/>
  <c r="X6" i="1"/>
  <c r="U6" i="1"/>
  <c r="V6" i="1" s="1"/>
  <c r="Y6" i="1" s="1"/>
  <c r="AC6" i="1" s="1"/>
  <c r="AK6" i="1" s="1"/>
  <c r="O6" i="1"/>
  <c r="N6" i="1"/>
  <c r="AN8" i="1" l="1"/>
  <c r="AM8" i="1"/>
  <c r="AL7" i="1"/>
  <c r="AN9" i="1"/>
  <c r="AM9" i="1"/>
  <c r="AK7" i="1"/>
  <c r="AL6" i="1"/>
  <c r="AN6" i="1" s="1"/>
  <c r="AN7" i="1" l="1"/>
  <c r="AM7" i="1"/>
  <c r="AM6" i="1"/>
</calcChain>
</file>

<file path=xl/sharedStrings.xml><?xml version="1.0" encoding="utf-8"?>
<sst xmlns="http://schemas.openxmlformats.org/spreadsheetml/2006/main" count="83" uniqueCount="79">
  <si>
    <t>TỶ SUẤT LỢI NHUẬN CỦA VẬT NUÔI</t>
  </si>
  <si>
    <t>STT</t>
  </si>
  <si>
    <t>Thông tin vật nuôi</t>
  </si>
  <si>
    <t>Phòng/Chữa Bệnh</t>
  </si>
  <si>
    <t>Sản phẩm thu hoạch</t>
  </si>
  <si>
    <t>Tính toán thu hoạch</t>
  </si>
  <si>
    <t>Tỷ suất lợi nhuận dự kiến</t>
  </si>
  <si>
    <t>Số lần cho ăn</t>
  </si>
  <si>
    <t>Số lượng thức ăn (Loại thức ăn)</t>
  </si>
  <si>
    <t>Loại thức ăn</t>
  </si>
  <si>
    <t>Giá</t>
  </si>
  <si>
    <t>Chi phí cho ăn</t>
  </si>
  <si>
    <t>Doanh thu</t>
  </si>
  <si>
    <t>Tổng chi phí</t>
  </si>
  <si>
    <t>Tổng lợi nhuận</t>
  </si>
  <si>
    <t>Tỷ suất lợi nhuận thu hoạch tổng</t>
  </si>
  <si>
    <t xml:space="preserve">Tỷ suất lợi nhuận 1 tháng dựa trên việc thu hoạch product 1 </t>
  </si>
  <si>
    <t>Con Giống</t>
  </si>
  <si>
    <t>Định Giá</t>
  </si>
  <si>
    <t>?</t>
  </si>
  <si>
    <t>Slot trồng (Ô CHUỒNG)</t>
  </si>
  <si>
    <t>Thức ăn 1 (Chính)</t>
  </si>
  <si>
    <t>Thức ăn 2 (thay thế)</t>
  </si>
  <si>
    <t>Chu kỳ cho ăn (ngày)</t>
  </si>
  <si>
    <t>EXP thu hoạch Lần cuối</t>
  </si>
  <si>
    <t>Thời điểm phát bệnh</t>
  </si>
  <si>
    <t>Tỉ lệ phát bệnh</t>
  </si>
  <si>
    <t>Số lượng Vắc-xin cần</t>
  </si>
  <si>
    <t xml:space="preserve"> Tổng chi phí Vắc -xin</t>
  </si>
  <si>
    <t xml:space="preserve"> Tổng chi phí thuốc</t>
  </si>
  <si>
    <t>Số lượng thuốc trị bệnh cần</t>
  </si>
  <si>
    <t>Product 1</t>
  </si>
  <si>
    <t>Số lượng Pro1</t>
  </si>
  <si>
    <t>Product 2</t>
  </si>
  <si>
    <t>Số lượng Pro2</t>
  </si>
  <si>
    <t>Chu kỳ thu hoạch (ngày)</t>
  </si>
  <si>
    <t>Tổng chu kỳ thu hoạch (LẦN THU)</t>
  </si>
  <si>
    <t>Số Tháng Nuôi</t>
  </si>
  <si>
    <t>Số ngày nuôi</t>
  </si>
  <si>
    <t>Tổng Product 1</t>
  </si>
  <si>
    <t>Giá Product 1 (Giá point/sp)</t>
  </si>
  <si>
    <t>Tổng Product 2 (Final harverst)</t>
  </si>
  <si>
    <t>Giá product 2(Giá point/sp)</t>
  </si>
  <si>
    <t>Tổng Giá trị</t>
  </si>
  <si>
    <t>Số lần cho ăn trong chu kỳ nuôi</t>
  </si>
  <si>
    <t>Trong một chu kỳ nuôi</t>
  </si>
  <si>
    <t>Thức ăn chính</t>
  </si>
  <si>
    <t>Tính theo giá trồng được</t>
  </si>
  <si>
    <t>Tổng chi phí thức ăn trong một chu kỳ nuôi</t>
  </si>
  <si>
    <t>USDT</t>
  </si>
  <si>
    <t>( all chu kỳ)</t>
  </si>
  <si>
    <t>thu lại (Pro1)</t>
  </si>
  <si>
    <t>thu lại (Pro2)</t>
  </si>
  <si>
    <t>Hươu</t>
  </si>
  <si>
    <t>9 Slot</t>
  </si>
  <si>
    <t>5 Bắp Ngô</t>
  </si>
  <si>
    <t>CÁM</t>
  </si>
  <si>
    <t>Nhung hươu</t>
  </si>
  <si>
    <t>Thịt Huơu</t>
  </si>
  <si>
    <t>Bắp ngô</t>
  </si>
  <si>
    <t>Dê con V2</t>
  </si>
  <si>
    <t>2 Bí ngô</t>
  </si>
  <si>
    <t>2 Cỏ voi</t>
  </si>
  <si>
    <t>Sữa dê V2</t>
  </si>
  <si>
    <t>Thịt dê V2</t>
  </si>
  <si>
    <t>Bí ngô</t>
  </si>
  <si>
    <t>Ngỗng con V2 (mới)</t>
  </si>
  <si>
    <t>1 Slot</t>
  </si>
  <si>
    <t>2 Bắp Cải</t>
  </si>
  <si>
    <t>3 Bắp Ngô</t>
  </si>
  <si>
    <t>Trứng ngỗng V2</t>
  </si>
  <si>
    <t>Thịt ngỗng V2</t>
  </si>
  <si>
    <t>Bắp cải</t>
  </si>
  <si>
    <t>Thỏ con V2 (mới)</t>
  </si>
  <si>
    <t>1 Cà rốt</t>
  </si>
  <si>
    <t>1 Bắp ngô</t>
  </si>
  <si>
    <t>Lông thỏ V2</t>
  </si>
  <si>
    <t>Thịt thỏ V2</t>
  </si>
  <si>
    <t>Cà rốt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</si>
</sst>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1"/>
      <color theme="1"/>
      <name val="Calibri"/>
      <family val="2"/>
      <charset val="163"/>
      <scheme val="minor"/>
    </font>
    <font>
      <b/>
      <sz val="12"/>
      <color rgb="FF000000"/>
      <name val="Calibri"/>
      <family val="2"/>
      <scheme val="minor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FF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3" fillId="3" borderId="2" xfId="0" applyFont="1" applyFill="1" applyBorder="1" applyAlignment="1">
      <alignment horizontal="center" vertical="center" wrapText="1" readingOrder="1"/>
    </xf>
    <xf numFmtId="0" fontId="4" fillId="3" borderId="2" xfId="0" applyFont="1" applyFill="1" applyBorder="1" applyAlignment="1">
      <alignment horizontal="center" vertical="center" wrapText="1" readingOrder="1"/>
    </xf>
    <xf numFmtId="0" fontId="4" fillId="4" borderId="2" xfId="0" applyFont="1" applyFill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 wrapText="1" readingOrder="1"/>
    </xf>
    <xf numFmtId="0" fontId="4" fillId="5" borderId="4" xfId="0" applyFont="1" applyFill="1" applyBorder="1" applyAlignment="1">
      <alignment horizontal="center" vertical="center" wrapText="1" readingOrder="1"/>
    </xf>
    <xf numFmtId="0" fontId="4" fillId="5" borderId="5" xfId="0" applyFont="1" applyFill="1" applyBorder="1" applyAlignment="1">
      <alignment horizontal="center" vertical="center" wrapText="1" readingOrder="1"/>
    </xf>
    <xf numFmtId="0" fontId="4" fillId="6" borderId="2" xfId="0" applyFont="1" applyFill="1" applyBorder="1" applyAlignment="1">
      <alignment horizontal="center" vertical="center" wrapText="1" readingOrder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 readingOrder="1"/>
    </xf>
    <xf numFmtId="0" fontId="5" fillId="3" borderId="2" xfId="0" applyFont="1" applyFill="1" applyBorder="1" applyAlignment="1">
      <alignment horizontal="center" vertical="center" wrapText="1" readingOrder="1"/>
    </xf>
    <xf numFmtId="0" fontId="5" fillId="3" borderId="6" xfId="0" applyFont="1" applyFill="1" applyBorder="1" applyAlignment="1">
      <alignment horizontal="center" vertical="center" wrapText="1" readingOrder="1"/>
    </xf>
    <xf numFmtId="0" fontId="5" fillId="3" borderId="6" xfId="0" applyFont="1" applyFill="1" applyBorder="1" applyAlignment="1">
      <alignment horizontal="center" vertical="center" wrapText="1" readingOrder="1"/>
    </xf>
    <xf numFmtId="0" fontId="4" fillId="3" borderId="2" xfId="0" applyFont="1" applyFill="1" applyBorder="1" applyAlignment="1">
      <alignment horizontal="center" vertical="center" wrapText="1" readingOrder="1"/>
    </xf>
    <xf numFmtId="0" fontId="5" fillId="5" borderId="2" xfId="0" applyFont="1" applyFill="1" applyBorder="1" applyAlignment="1">
      <alignment horizontal="center" vertical="center" wrapText="1" readingOrder="1"/>
    </xf>
    <xf numFmtId="0" fontId="6" fillId="5" borderId="2" xfId="0" applyFont="1" applyFill="1" applyBorder="1" applyAlignment="1">
      <alignment horizontal="center" vertical="center" wrapText="1" readingOrder="1"/>
    </xf>
    <xf numFmtId="0" fontId="6" fillId="5" borderId="6" xfId="0" applyFont="1" applyFill="1" applyBorder="1" applyAlignment="1">
      <alignment horizontal="center" vertical="center" wrapText="1" readingOrder="1"/>
    </xf>
    <xf numFmtId="0" fontId="5" fillId="6" borderId="2" xfId="0" applyFont="1" applyFill="1" applyBorder="1" applyAlignment="1">
      <alignment horizontal="center" vertical="center" wrapText="1" readingOrder="1"/>
    </xf>
    <xf numFmtId="0" fontId="5" fillId="11" borderId="6" xfId="0" applyFont="1" applyFill="1" applyBorder="1" applyAlignment="1">
      <alignment horizontal="center" vertical="center" wrapText="1" readingOrder="1"/>
    </xf>
    <xf numFmtId="0" fontId="5" fillId="6" borderId="2" xfId="0" applyFont="1" applyFill="1" applyBorder="1" applyAlignment="1">
      <alignment horizontal="center" vertical="center" wrapText="1" readingOrder="1"/>
    </xf>
    <xf numFmtId="0" fontId="5" fillId="7" borderId="2" xfId="0" applyFont="1" applyFill="1" applyBorder="1" applyAlignment="1">
      <alignment horizontal="center" vertical="center" wrapText="1" readingOrder="1"/>
    </xf>
    <xf numFmtId="0" fontId="2" fillId="8" borderId="2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 readingOrder="1"/>
    </xf>
    <xf numFmtId="0" fontId="5" fillId="3" borderId="7" xfId="0" applyFont="1" applyFill="1" applyBorder="1" applyAlignment="1">
      <alignment horizontal="center" vertical="center" wrapText="1" readingOrder="1"/>
    </xf>
    <xf numFmtId="0" fontId="6" fillId="5" borderId="7" xfId="0" applyFont="1" applyFill="1" applyBorder="1" applyAlignment="1">
      <alignment horizontal="center" vertical="center" wrapText="1" readingOrder="1"/>
    </xf>
    <xf numFmtId="0" fontId="5" fillId="11" borderId="7" xfId="0" applyFont="1" applyFill="1" applyBorder="1" applyAlignment="1">
      <alignment horizontal="center" vertical="center" wrapText="1" readingOrder="1"/>
    </xf>
    <xf numFmtId="0" fontId="0" fillId="12" borderId="2" xfId="0" applyFill="1" applyBorder="1" applyAlignment="1">
      <alignment horizontal="center" vertical="center"/>
    </xf>
    <xf numFmtId="2" fontId="0" fillId="12" borderId="2" xfId="0" applyNumberFormat="1" applyFill="1" applyBorder="1" applyAlignment="1">
      <alignment horizontal="center" vertical="center"/>
    </xf>
    <xf numFmtId="3" fontId="0" fillId="12" borderId="2" xfId="0" applyNumberFormat="1" applyFill="1" applyBorder="1" applyAlignment="1">
      <alignment horizontal="center" vertical="center"/>
    </xf>
    <xf numFmtId="2" fontId="0" fillId="12" borderId="2" xfId="0" applyNumberFormat="1" applyFill="1" applyBorder="1"/>
    <xf numFmtId="0" fontId="0" fillId="12" borderId="2" xfId="0" applyFill="1" applyBorder="1" applyAlignment="1">
      <alignment horizontal="center" wrapText="1"/>
    </xf>
    <xf numFmtId="0" fontId="8" fillId="13" borderId="0" xfId="0" applyFont="1" applyFill="1" applyAlignment="1">
      <alignment horizontal="center" vertical="center" readingOrder="1"/>
    </xf>
    <xf numFmtId="0" fontId="3" fillId="14" borderId="2" xfId="0" applyFont="1" applyFill="1" applyBorder="1" applyAlignment="1">
      <alignment horizontal="center" vertical="center" readingOrder="1"/>
    </xf>
    <xf numFmtId="0" fontId="7" fillId="14" borderId="2" xfId="0" applyFont="1" applyFill="1" applyBorder="1" applyAlignment="1">
      <alignment horizontal="center" vertical="center" readingOrder="1"/>
    </xf>
    <xf numFmtId="43" fontId="7" fillId="14" borderId="2" xfId="0" applyNumberFormat="1" applyFont="1" applyFill="1" applyBorder="1" applyAlignment="1">
      <alignment horizontal="center" vertical="center" wrapText="1" readingOrder="1"/>
    </xf>
    <xf numFmtId="0" fontId="7" fillId="14" borderId="2" xfId="0" applyFont="1" applyFill="1" applyBorder="1" applyAlignment="1">
      <alignment horizontal="center" vertical="center" wrapText="1" readingOrder="1"/>
    </xf>
    <xf numFmtId="10" fontId="7" fillId="14" borderId="2" xfId="0" applyNumberFormat="1" applyFont="1" applyFill="1" applyBorder="1" applyAlignment="1">
      <alignment horizontal="center" vertical="center" wrapText="1" readingOrder="1"/>
    </xf>
    <xf numFmtId="0" fontId="0" fillId="14" borderId="0" xfId="0" applyFill="1"/>
    <xf numFmtId="0" fontId="2" fillId="15" borderId="2" xfId="0" applyFont="1" applyFill="1" applyBorder="1" applyAlignment="1">
      <alignment horizontal="center" vertical="center"/>
    </xf>
    <xf numFmtId="0" fontId="0" fillId="15" borderId="2" xfId="0" applyFill="1" applyBorder="1" applyAlignment="1">
      <alignment horizontal="center"/>
    </xf>
    <xf numFmtId="1" fontId="7" fillId="9" borderId="2" xfId="0" applyNumberFormat="1" applyFont="1" applyFill="1" applyBorder="1" applyAlignment="1">
      <alignment horizontal="center" vertical="center" wrapText="1" readingOrder="1"/>
    </xf>
    <xf numFmtId="0" fontId="7" fillId="9" borderId="2" xfId="0" applyFont="1" applyFill="1" applyBorder="1" applyAlignment="1">
      <alignment horizontal="center" vertical="center" readingOrder="1"/>
    </xf>
    <xf numFmtId="0" fontId="8" fillId="9" borderId="2" xfId="0" applyFont="1" applyFill="1" applyBorder="1" applyAlignment="1">
      <alignment horizontal="center" vertical="center" readingOrder="1"/>
    </xf>
    <xf numFmtId="0" fontId="7" fillId="16" borderId="2" xfId="0" applyFont="1" applyFill="1" applyBorder="1" applyAlignment="1">
      <alignment horizontal="center" vertical="center" wrapText="1" readingOrder="1"/>
    </xf>
    <xf numFmtId="0" fontId="8" fillId="16" borderId="2" xfId="0" applyFont="1" applyFill="1" applyBorder="1" applyAlignment="1">
      <alignment horizontal="center" vertical="center" readingOrder="1"/>
    </xf>
    <xf numFmtId="9" fontId="7" fillId="17" borderId="2" xfId="0" applyNumberFormat="1" applyFont="1" applyFill="1" applyBorder="1" applyAlignment="1">
      <alignment horizontal="center" vertical="center" wrapText="1" readingOrder="1"/>
    </xf>
    <xf numFmtId="0" fontId="7" fillId="17" borderId="2" xfId="0" applyFont="1" applyFill="1" applyBorder="1" applyAlignment="1">
      <alignment horizontal="center" vertical="center" wrapText="1" readingOrder="1"/>
    </xf>
    <xf numFmtId="0" fontId="7" fillId="8" borderId="2" xfId="0" applyFont="1" applyFill="1" applyBorder="1" applyAlignment="1">
      <alignment horizontal="center" vertical="center" wrapText="1" readingOrder="1"/>
    </xf>
    <xf numFmtId="164" fontId="7" fillId="8" borderId="2" xfId="0" applyNumberFormat="1" applyFont="1" applyFill="1" applyBorder="1" applyAlignment="1">
      <alignment horizontal="center" vertical="center" wrapText="1" readingOrder="1"/>
    </xf>
    <xf numFmtId="0" fontId="6" fillId="8" borderId="2" xfId="0" applyFont="1" applyFill="1" applyBorder="1" applyAlignment="1">
      <alignment horizontal="center" vertical="center" wrapText="1" readingOrder="1"/>
    </xf>
    <xf numFmtId="0" fontId="7" fillId="8" borderId="2" xfId="0" applyFont="1" applyFill="1" applyBorder="1" applyAlignment="1">
      <alignment horizontal="center" vertical="center" readingOrder="1"/>
    </xf>
    <xf numFmtId="0" fontId="8" fillId="8" borderId="2" xfId="0" applyFont="1" applyFill="1" applyBorder="1" applyAlignment="1">
      <alignment horizontal="center" vertical="center" readingOrder="1"/>
    </xf>
    <xf numFmtId="0" fontId="9" fillId="8" borderId="2" xfId="0" applyFont="1" applyFill="1" applyBorder="1" applyAlignment="1">
      <alignment horizontal="center" vertical="center" readingOrder="1"/>
    </xf>
    <xf numFmtId="1" fontId="7" fillId="16" borderId="2" xfId="0" applyNumberFormat="1" applyFont="1" applyFill="1" applyBorder="1" applyAlignment="1">
      <alignment horizontal="center" vertical="center" wrapText="1" readingOrder="1"/>
    </xf>
    <xf numFmtId="3" fontId="7" fillId="16" borderId="2" xfId="0" applyNumberFormat="1" applyFont="1" applyFill="1" applyBorder="1" applyAlignment="1">
      <alignment horizontal="center" vertical="center" wrapText="1" readingOrder="1"/>
    </xf>
    <xf numFmtId="0" fontId="0" fillId="18" borderId="2" xfId="0" applyFill="1" applyBorder="1" applyAlignment="1">
      <alignment horizontal="center" vertical="center" wrapText="1"/>
    </xf>
    <xf numFmtId="0" fontId="0" fillId="18" borderId="2" xfId="0" applyFill="1" applyBorder="1" applyAlignment="1">
      <alignment horizontal="center" vertical="center"/>
    </xf>
    <xf numFmtId="2" fontId="0" fillId="18" borderId="2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A0B67-98AD-4C5B-B167-56D41DD4EDE3}">
  <dimension ref="A1:AO11"/>
  <sheetViews>
    <sheetView tabSelected="1" topLeftCell="W1" workbookViewId="0">
      <selection activeCell="AF12" sqref="AF12"/>
    </sheetView>
  </sheetViews>
  <sheetFormatPr defaultRowHeight="14.5" x14ac:dyDescent="0.35"/>
  <cols>
    <col min="2" max="2" width="19" customWidth="1"/>
  </cols>
  <sheetData>
    <row r="1" spans="1:41" ht="15.5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spans="1:41" ht="16" customHeight="1" x14ac:dyDescent="0.3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 s="16" customFormat="1" ht="58" x14ac:dyDescent="0.35">
      <c r="A3" s="46" t="s">
        <v>1</v>
      </c>
      <c r="B3" s="3" t="s">
        <v>2</v>
      </c>
      <c r="C3" s="4"/>
      <c r="D3" s="4"/>
      <c r="E3" s="4"/>
      <c r="F3" s="4"/>
      <c r="G3" s="4"/>
      <c r="H3" s="4"/>
      <c r="I3" s="4"/>
      <c r="J3" s="4"/>
      <c r="K3" s="5" t="s">
        <v>3</v>
      </c>
      <c r="L3" s="6"/>
      <c r="M3" s="6"/>
      <c r="N3" s="6"/>
      <c r="O3" s="6"/>
      <c r="P3" s="6"/>
      <c r="Q3" s="7" t="s">
        <v>4</v>
      </c>
      <c r="R3" s="8"/>
      <c r="S3" s="8"/>
      <c r="T3" s="8"/>
      <c r="U3" s="8"/>
      <c r="V3" s="8"/>
      <c r="W3" s="8"/>
      <c r="X3" s="9"/>
      <c r="Y3" s="10" t="s">
        <v>5</v>
      </c>
      <c r="Z3" s="10"/>
      <c r="AA3" s="6"/>
      <c r="AB3" s="6"/>
      <c r="AC3" s="6"/>
      <c r="AD3" s="6"/>
      <c r="AE3" s="11" t="s">
        <v>6</v>
      </c>
      <c r="AF3" s="12" t="s">
        <v>7</v>
      </c>
      <c r="AG3" s="12" t="s">
        <v>8</v>
      </c>
      <c r="AH3" s="12" t="s">
        <v>9</v>
      </c>
      <c r="AI3" s="12" t="s">
        <v>10</v>
      </c>
      <c r="AJ3" s="12" t="s">
        <v>11</v>
      </c>
      <c r="AK3" s="13" t="s">
        <v>12</v>
      </c>
      <c r="AL3" s="13" t="s">
        <v>13</v>
      </c>
      <c r="AM3" s="13" t="s">
        <v>14</v>
      </c>
      <c r="AN3" s="14" t="s">
        <v>15</v>
      </c>
      <c r="AO3" s="15" t="s">
        <v>16</v>
      </c>
    </row>
    <row r="4" spans="1:41" s="16" customFormat="1" ht="39" x14ac:dyDescent="0.35">
      <c r="A4" s="46"/>
      <c r="B4" s="17" t="s">
        <v>17</v>
      </c>
      <c r="C4" s="18" t="s">
        <v>18</v>
      </c>
      <c r="D4" s="19"/>
      <c r="E4" s="20" t="s">
        <v>19</v>
      </c>
      <c r="F4" s="21" t="s">
        <v>20</v>
      </c>
      <c r="G4" s="18" t="s">
        <v>21</v>
      </c>
      <c r="H4" s="18" t="s">
        <v>22</v>
      </c>
      <c r="I4" s="18" t="s">
        <v>23</v>
      </c>
      <c r="J4" s="18" t="s">
        <v>24</v>
      </c>
      <c r="K4" s="22" t="s">
        <v>25</v>
      </c>
      <c r="L4" s="22" t="s">
        <v>26</v>
      </c>
      <c r="M4" s="22" t="s">
        <v>27</v>
      </c>
      <c r="N4" s="22" t="s">
        <v>28</v>
      </c>
      <c r="O4" s="22" t="s">
        <v>29</v>
      </c>
      <c r="P4" s="22" t="s">
        <v>30</v>
      </c>
      <c r="Q4" s="22" t="s">
        <v>31</v>
      </c>
      <c r="R4" s="22" t="s">
        <v>32</v>
      </c>
      <c r="S4" s="22" t="s">
        <v>33</v>
      </c>
      <c r="T4" s="22" t="s">
        <v>34</v>
      </c>
      <c r="U4" s="22" t="s">
        <v>35</v>
      </c>
      <c r="V4" s="22" t="s">
        <v>36</v>
      </c>
      <c r="W4" s="23" t="s">
        <v>37</v>
      </c>
      <c r="X4" s="24" t="s">
        <v>38</v>
      </c>
      <c r="Y4" s="25" t="s">
        <v>39</v>
      </c>
      <c r="Z4" s="26" t="s">
        <v>40</v>
      </c>
      <c r="AA4" s="27" t="s">
        <v>41</v>
      </c>
      <c r="AB4" s="26" t="s">
        <v>42</v>
      </c>
      <c r="AC4" s="25" t="s">
        <v>43</v>
      </c>
      <c r="AD4" s="25" t="s">
        <v>43</v>
      </c>
      <c r="AE4" s="28" t="s">
        <v>6</v>
      </c>
      <c r="AF4" s="29" t="s">
        <v>44</v>
      </c>
      <c r="AG4" s="29" t="s">
        <v>45</v>
      </c>
      <c r="AH4" s="29" t="s">
        <v>46</v>
      </c>
      <c r="AI4" s="29" t="s">
        <v>47</v>
      </c>
      <c r="AJ4" s="29" t="s">
        <v>48</v>
      </c>
      <c r="AK4" s="13"/>
      <c r="AL4" s="13"/>
      <c r="AM4" s="13"/>
      <c r="AN4" s="14"/>
      <c r="AO4" s="15"/>
    </row>
    <row r="5" spans="1:41" s="16" customFormat="1" ht="26" x14ac:dyDescent="0.35">
      <c r="A5" s="46"/>
      <c r="B5" s="17"/>
      <c r="C5" s="18"/>
      <c r="D5" s="30" t="s">
        <v>49</v>
      </c>
      <c r="E5" s="31"/>
      <c r="F5" s="21"/>
      <c r="G5" s="18"/>
      <c r="H5" s="18"/>
      <c r="I5" s="18"/>
      <c r="J5" s="18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3"/>
      <c r="X5" s="32"/>
      <c r="Y5" s="25" t="s">
        <v>50</v>
      </c>
      <c r="Z5" s="33"/>
      <c r="AA5" s="27"/>
      <c r="AB5" s="33"/>
      <c r="AC5" s="25" t="s">
        <v>51</v>
      </c>
      <c r="AD5" s="25" t="s">
        <v>52</v>
      </c>
      <c r="AE5" s="28"/>
      <c r="AF5" s="29"/>
      <c r="AG5" s="29"/>
      <c r="AH5" s="29"/>
      <c r="AI5" s="29"/>
      <c r="AJ5" s="29"/>
      <c r="AK5" s="13"/>
      <c r="AL5" s="13"/>
      <c r="AM5" s="13"/>
      <c r="AN5" s="14"/>
      <c r="AO5" s="15"/>
    </row>
    <row r="6" spans="1:41" s="45" customFormat="1" ht="25" x14ac:dyDescent="0.35">
      <c r="A6" s="47">
        <v>5</v>
      </c>
      <c r="B6" s="40" t="s">
        <v>53</v>
      </c>
      <c r="C6" s="48">
        <f>D6*C11</f>
        <v>10400</v>
      </c>
      <c r="D6" s="49">
        <v>400</v>
      </c>
      <c r="E6" s="42">
        <v>2.99</v>
      </c>
      <c r="F6" s="43" t="s">
        <v>54</v>
      </c>
      <c r="G6" s="51" t="s">
        <v>55</v>
      </c>
      <c r="H6" s="51" t="s">
        <v>56</v>
      </c>
      <c r="I6" s="51">
        <v>1</v>
      </c>
      <c r="J6" s="51">
        <v>15000</v>
      </c>
      <c r="K6" s="53">
        <v>0.15</v>
      </c>
      <c r="L6" s="53">
        <v>0.6</v>
      </c>
      <c r="M6" s="54">
        <v>4</v>
      </c>
      <c r="N6" s="54">
        <f>M6*30</f>
        <v>120</v>
      </c>
      <c r="O6" s="54">
        <f t="shared" ref="O6:O9" si="0">P6*70</f>
        <v>630</v>
      </c>
      <c r="P6" s="54">
        <v>9</v>
      </c>
      <c r="Q6" s="55" t="s">
        <v>57</v>
      </c>
      <c r="R6" s="55">
        <v>2</v>
      </c>
      <c r="S6" s="55" t="s">
        <v>58</v>
      </c>
      <c r="T6" s="55">
        <v>40</v>
      </c>
      <c r="U6" s="55">
        <f>6*30</f>
        <v>180</v>
      </c>
      <c r="V6" s="56">
        <f t="shared" ref="V6:V9" si="1">ROUNDDOWN(X6/U6,0)</f>
        <v>2</v>
      </c>
      <c r="W6" s="57">
        <v>12</v>
      </c>
      <c r="X6" s="57">
        <f t="shared" ref="X6:X8" si="2">W6*30</f>
        <v>360</v>
      </c>
      <c r="Y6" s="51">
        <f t="shared" ref="Y6:Y9" si="3">R6*V6</f>
        <v>4</v>
      </c>
      <c r="Z6" s="61">
        <v>12368</v>
      </c>
      <c r="AA6" s="51">
        <f t="shared" ref="AA6:AA9" si="4">T6</f>
        <v>40</v>
      </c>
      <c r="AB6" s="51">
        <v>933</v>
      </c>
      <c r="AC6" s="62">
        <f>Z6*Y6</f>
        <v>49472</v>
      </c>
      <c r="AD6" s="62">
        <f t="shared" ref="AD6:AD9" si="5">AA6*AB6</f>
        <v>37320</v>
      </c>
      <c r="AE6" s="44">
        <v>0.48349999999999999</v>
      </c>
      <c r="AF6" s="63">
        <f t="shared" ref="AF6:AF9" si="6">ROUNDDOWN(W6*30/I6,0)</f>
        <v>360</v>
      </c>
      <c r="AG6" s="64">
        <f>AF6*5</f>
        <v>1800</v>
      </c>
      <c r="AH6" s="64" t="s">
        <v>59</v>
      </c>
      <c r="AI6" s="65">
        <v>6</v>
      </c>
      <c r="AJ6" s="63">
        <f>AG6*AI6</f>
        <v>10800</v>
      </c>
      <c r="AK6" s="36">
        <f t="shared" ref="AK6:AK9" si="7">AC6+AD6</f>
        <v>86792</v>
      </c>
      <c r="AL6" s="34">
        <f t="shared" ref="AL6:AL9" si="8" xml:space="preserve"> L6*(C6+N6+O6+AJ6)+ (1-L6)*(AJ6+C6+N6)</f>
        <v>21698</v>
      </c>
      <c r="AM6" s="35">
        <f t="shared" ref="AM6:AM9" si="9">AK6-AL6</f>
        <v>65094</v>
      </c>
      <c r="AN6" s="37">
        <f t="shared" ref="AN6:AN9" si="10">AK6/AL6%</f>
        <v>400</v>
      </c>
      <c r="AO6" s="38">
        <v>19</v>
      </c>
    </row>
    <row r="7" spans="1:41" s="45" customFormat="1" ht="25" x14ac:dyDescent="0.35">
      <c r="A7" s="47">
        <v>7</v>
      </c>
      <c r="B7" s="40" t="s">
        <v>60</v>
      </c>
      <c r="C7" s="48">
        <f>D7*C11</f>
        <v>1300</v>
      </c>
      <c r="D7" s="49">
        <v>50</v>
      </c>
      <c r="E7" s="42">
        <v>49.88</v>
      </c>
      <c r="F7" s="41" t="s">
        <v>54</v>
      </c>
      <c r="G7" s="51" t="s">
        <v>61</v>
      </c>
      <c r="H7" s="51" t="s">
        <v>62</v>
      </c>
      <c r="I7" s="51">
        <v>1</v>
      </c>
      <c r="J7" s="51">
        <v>8000</v>
      </c>
      <c r="K7" s="53">
        <v>0.3</v>
      </c>
      <c r="L7" s="53">
        <v>0.3</v>
      </c>
      <c r="M7" s="54">
        <v>4</v>
      </c>
      <c r="N7" s="54">
        <f t="shared" ref="N7:N9" si="11">M7*30</f>
        <v>120</v>
      </c>
      <c r="O7" s="54">
        <f t="shared" si="0"/>
        <v>700</v>
      </c>
      <c r="P7" s="54">
        <v>10</v>
      </c>
      <c r="Q7" s="55" t="s">
        <v>63</v>
      </c>
      <c r="R7" s="55">
        <v>2</v>
      </c>
      <c r="S7" s="55" t="s">
        <v>64</v>
      </c>
      <c r="T7" s="55">
        <v>20</v>
      </c>
      <c r="U7" s="55">
        <v>3</v>
      </c>
      <c r="V7" s="56">
        <f t="shared" si="1"/>
        <v>60</v>
      </c>
      <c r="W7" s="57">
        <v>6</v>
      </c>
      <c r="X7" s="57">
        <f t="shared" si="2"/>
        <v>180</v>
      </c>
      <c r="Y7" s="51">
        <f t="shared" si="3"/>
        <v>120</v>
      </c>
      <c r="Z7" s="61">
        <v>12</v>
      </c>
      <c r="AA7" s="51">
        <f t="shared" si="4"/>
        <v>20</v>
      </c>
      <c r="AB7" s="51">
        <v>118</v>
      </c>
      <c r="AC7" s="62">
        <f>Y7*Z7</f>
        <v>1440</v>
      </c>
      <c r="AD7" s="62">
        <f t="shared" si="5"/>
        <v>2360</v>
      </c>
      <c r="AE7" s="44">
        <v>0.99935000000000007</v>
      </c>
      <c r="AF7" s="63">
        <f t="shared" si="6"/>
        <v>180</v>
      </c>
      <c r="AG7" s="64">
        <f xml:space="preserve"> AF7*2</f>
        <v>360</v>
      </c>
      <c r="AH7" s="64" t="s">
        <v>65</v>
      </c>
      <c r="AI7" s="64">
        <v>1.5</v>
      </c>
      <c r="AJ7" s="63">
        <f t="shared" ref="AJ7:AJ9" si="12">AG7*AI7</f>
        <v>540</v>
      </c>
      <c r="AK7" s="36">
        <f t="shared" si="7"/>
        <v>3800</v>
      </c>
      <c r="AL7" s="34">
        <f t="shared" si="8"/>
        <v>2170</v>
      </c>
      <c r="AM7" s="35">
        <f t="shared" si="9"/>
        <v>1630</v>
      </c>
      <c r="AN7" s="37">
        <f t="shared" si="10"/>
        <v>175.11520737327189</v>
      </c>
      <c r="AO7" s="38">
        <v>11</v>
      </c>
    </row>
    <row r="8" spans="1:41" s="45" customFormat="1" ht="25" x14ac:dyDescent="0.35">
      <c r="A8" s="47">
        <v>8</v>
      </c>
      <c r="B8" s="40" t="s">
        <v>66</v>
      </c>
      <c r="C8" s="48">
        <f>D8*C11</f>
        <v>260</v>
      </c>
      <c r="D8" s="50">
        <v>10</v>
      </c>
      <c r="E8" s="42">
        <v>11.99</v>
      </c>
      <c r="F8" s="43" t="s">
        <v>67</v>
      </c>
      <c r="G8" s="51" t="s">
        <v>68</v>
      </c>
      <c r="H8" s="51" t="s">
        <v>69</v>
      </c>
      <c r="I8" s="51">
        <v>1</v>
      </c>
      <c r="J8" s="52">
        <v>4500</v>
      </c>
      <c r="K8" s="53">
        <v>0.15</v>
      </c>
      <c r="L8" s="53">
        <v>0.4</v>
      </c>
      <c r="M8" s="54">
        <v>4</v>
      </c>
      <c r="N8" s="54">
        <f t="shared" si="11"/>
        <v>120</v>
      </c>
      <c r="O8" s="54">
        <f t="shared" si="0"/>
        <v>140</v>
      </c>
      <c r="P8" s="54">
        <v>2</v>
      </c>
      <c r="Q8" s="58" t="s">
        <v>70</v>
      </c>
      <c r="R8" s="58">
        <v>2</v>
      </c>
      <c r="S8" s="58" t="s">
        <v>71</v>
      </c>
      <c r="T8" s="58">
        <v>5</v>
      </c>
      <c r="U8" s="59">
        <v>3</v>
      </c>
      <c r="V8" s="56">
        <f t="shared" si="1"/>
        <v>30</v>
      </c>
      <c r="W8" s="60">
        <v>3</v>
      </c>
      <c r="X8" s="57">
        <f t="shared" si="2"/>
        <v>90</v>
      </c>
      <c r="Y8" s="51">
        <f t="shared" si="3"/>
        <v>60</v>
      </c>
      <c r="Z8" s="61">
        <v>14</v>
      </c>
      <c r="AA8" s="51">
        <f t="shared" si="4"/>
        <v>5</v>
      </c>
      <c r="AB8" s="51">
        <v>665</v>
      </c>
      <c r="AC8" s="62">
        <f>Y8*Z8</f>
        <v>840</v>
      </c>
      <c r="AD8" s="62">
        <f t="shared" si="5"/>
        <v>3325</v>
      </c>
      <c r="AE8" s="44">
        <v>1.0088999999999999</v>
      </c>
      <c r="AF8" s="63">
        <f t="shared" si="6"/>
        <v>90</v>
      </c>
      <c r="AG8" s="64">
        <f>AF8*2</f>
        <v>180</v>
      </c>
      <c r="AH8" s="64" t="s">
        <v>72</v>
      </c>
      <c r="AI8" s="64">
        <v>13</v>
      </c>
      <c r="AJ8" s="63">
        <f t="shared" si="12"/>
        <v>2340</v>
      </c>
      <c r="AK8" s="36">
        <f t="shared" si="7"/>
        <v>4165</v>
      </c>
      <c r="AL8" s="34">
        <f t="shared" si="8"/>
        <v>2776</v>
      </c>
      <c r="AM8" s="35">
        <f t="shared" si="9"/>
        <v>1389</v>
      </c>
      <c r="AN8" s="37">
        <f t="shared" si="10"/>
        <v>150.03602305475505</v>
      </c>
      <c r="AO8" s="38">
        <v>10</v>
      </c>
    </row>
    <row r="9" spans="1:41" s="45" customFormat="1" ht="25" x14ac:dyDescent="0.35">
      <c r="A9" s="47">
        <v>9</v>
      </c>
      <c r="B9" s="40" t="s">
        <v>73</v>
      </c>
      <c r="C9" s="48">
        <f>D9*C11</f>
        <v>130</v>
      </c>
      <c r="D9" s="50">
        <v>5</v>
      </c>
      <c r="E9" s="42">
        <v>4.99</v>
      </c>
      <c r="F9" s="43" t="s">
        <v>67</v>
      </c>
      <c r="G9" s="51" t="s">
        <v>74</v>
      </c>
      <c r="H9" s="51" t="s">
        <v>75</v>
      </c>
      <c r="I9" s="51">
        <v>1</v>
      </c>
      <c r="J9" s="52">
        <v>1500</v>
      </c>
      <c r="K9" s="53">
        <v>0.4</v>
      </c>
      <c r="L9" s="53">
        <v>0.5</v>
      </c>
      <c r="M9" s="54">
        <v>2</v>
      </c>
      <c r="N9" s="54">
        <f t="shared" si="11"/>
        <v>60</v>
      </c>
      <c r="O9" s="54">
        <f t="shared" si="0"/>
        <v>140</v>
      </c>
      <c r="P9" s="54">
        <v>2</v>
      </c>
      <c r="Q9" s="58" t="s">
        <v>76</v>
      </c>
      <c r="R9" s="58">
        <v>8</v>
      </c>
      <c r="S9" s="58" t="s">
        <v>77</v>
      </c>
      <c r="T9" s="58">
        <v>5</v>
      </c>
      <c r="U9" s="59">
        <v>40</v>
      </c>
      <c r="V9" s="56">
        <f t="shared" si="1"/>
        <v>2</v>
      </c>
      <c r="W9" s="60">
        <v>2.67</v>
      </c>
      <c r="X9" s="57">
        <v>80</v>
      </c>
      <c r="Y9" s="51">
        <f t="shared" si="3"/>
        <v>16</v>
      </c>
      <c r="Z9" s="61">
        <v>21</v>
      </c>
      <c r="AA9" s="51">
        <f t="shared" si="4"/>
        <v>5</v>
      </c>
      <c r="AB9" s="51">
        <v>289</v>
      </c>
      <c r="AC9" s="62">
        <f>Y9*Z9</f>
        <v>336</v>
      </c>
      <c r="AD9" s="62">
        <f t="shared" si="5"/>
        <v>1445</v>
      </c>
      <c r="AE9" s="44">
        <v>0.55000000000000004</v>
      </c>
      <c r="AF9" s="63">
        <f t="shared" si="6"/>
        <v>80</v>
      </c>
      <c r="AG9" s="64">
        <v>90</v>
      </c>
      <c r="AH9" s="64" t="s">
        <v>78</v>
      </c>
      <c r="AI9" s="64">
        <v>13</v>
      </c>
      <c r="AJ9" s="63">
        <f t="shared" si="12"/>
        <v>1170</v>
      </c>
      <c r="AK9" s="36">
        <f t="shared" si="7"/>
        <v>1781</v>
      </c>
      <c r="AL9" s="34">
        <f t="shared" si="8"/>
        <v>1430</v>
      </c>
      <c r="AM9" s="35">
        <f t="shared" si="9"/>
        <v>351</v>
      </c>
      <c r="AN9" s="37">
        <f t="shared" si="10"/>
        <v>124.54545454545453</v>
      </c>
      <c r="AO9" s="38">
        <v>9</v>
      </c>
    </row>
    <row r="11" spans="1:41" x14ac:dyDescent="0.35">
      <c r="C11" s="39">
        <v>26</v>
      </c>
    </row>
  </sheetData>
  <mergeCells count="41">
    <mergeCell ref="AJ4:AJ5"/>
    <mergeCell ref="AB4:AB5"/>
    <mergeCell ref="AE4:AE5"/>
    <mergeCell ref="AF4:AF5"/>
    <mergeCell ref="AG4:AG5"/>
    <mergeCell ref="AH4:AH5"/>
    <mergeCell ref="AI4:AI5"/>
    <mergeCell ref="U4:U5"/>
    <mergeCell ref="V4:V5"/>
    <mergeCell ref="W4:W5"/>
    <mergeCell ref="X4:X5"/>
    <mergeCell ref="Z4:Z5"/>
    <mergeCell ref="AA4:AA5"/>
    <mergeCell ref="O4:O5"/>
    <mergeCell ref="P4:P5"/>
    <mergeCell ref="Q4:Q5"/>
    <mergeCell ref="R4:R5"/>
    <mergeCell ref="S4:S5"/>
    <mergeCell ref="T4:T5"/>
    <mergeCell ref="I4:I5"/>
    <mergeCell ref="J4:J5"/>
    <mergeCell ref="K4:K5"/>
    <mergeCell ref="L4:L5"/>
    <mergeCell ref="M4:M5"/>
    <mergeCell ref="N4:N5"/>
    <mergeCell ref="B4:B5"/>
    <mergeCell ref="C4:C5"/>
    <mergeCell ref="E4:E5"/>
    <mergeCell ref="F4:F5"/>
    <mergeCell ref="G4:G5"/>
    <mergeCell ref="H4:H5"/>
    <mergeCell ref="A1:AO2"/>
    <mergeCell ref="A3:A5"/>
    <mergeCell ref="K3:P3"/>
    <mergeCell ref="Q3:X3"/>
    <mergeCell ref="Y3:AD3"/>
    <mergeCell ref="AK3:AK5"/>
    <mergeCell ref="AL3:AL5"/>
    <mergeCell ref="AM3:AM5"/>
    <mergeCell ref="AN3:AN5"/>
    <mergeCell ref="AO3:A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Phuong Anh</dc:creator>
  <cp:lastModifiedBy>Nguyen Phuong Anh</cp:lastModifiedBy>
  <dcterms:created xsi:type="dcterms:W3CDTF">2026-06-24T10:27:20Z</dcterms:created>
  <dcterms:modified xsi:type="dcterms:W3CDTF">2026-06-24T10:31:50Z</dcterms:modified>
</cp:coreProperties>
</file>